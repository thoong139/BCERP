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Đầu Vào" sheetId="2" state="visible" r:id="rId4"/>
    <sheet name="UE G1-G4" sheetId="3" state="visible" r:id="rId5"/>
    <sheet name="UE G5-G7" sheetId="4" state="visible" r:id="rId6"/>
    <sheet name="P&amp;L 12T" sheetId="5" state="visible" r:id="rId7"/>
    <sheet name="Hòa Vốn" sheetId="6" state="visible" r:id="rId8"/>
    <sheet name="Kịch Bản" sheetId="7" state="visible" r:id="rId9"/>
  </sheets>
  <definedNames>
    <definedName function="false" hidden="false" name="ChurnRate" vbProcedure="false">'Đầu Vào'!$B$50</definedName>
    <definedName function="false" hidden="false" name="GrowthRate" vbProcedure="false">'Đầu Vào'!$B$49</definedName>
    <definedName function="false" hidden="false" name="Headcount" vbProcedure="false">'Đầu Vào'!$B$35</definedName>
    <definedName function="false" hidden="false" name="OverheadRate" vbProcedure="false">'Đầu Vào'!$B$34</definedName>
    <definedName function="false" hidden="false" name="ToolsCost" vbProcedure="false">'Đầu Vào'!$B$41</definedName>
    <definedName function="false" hidden="false" name="TotalClients" vbProcedure="false">'Đầu Vào'!$F$12</definedName>
    <definedName function="false" hidden="false" name="TotalFixed" vbProcedure="false">'Đầu Vào'!$B$45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<sst xmlns="http://schemas.openxmlformats.org/spreadsheetml/2006/main" count="327" uniqueCount="188">
  <si>
    <t xml:space="preserve">DASHBOARD – BC VIỆT NAM TÀI CHÍNH</t>
  </si>
  <si>
    <t xml:space="preserve">TỔNG QUAN TÀI CHÍNH THÁNG HIỆN TẠI</t>
  </si>
  <si>
    <t xml:space="preserve">Tổng doanh thu tháng</t>
  </si>
  <si>
    <t xml:space="preserve">Trạng thái</t>
  </si>
  <si>
    <t xml:space="preserve">Tổng chi phí nhân sự</t>
  </si>
  <si>
    <t xml:space="preserve">Tổng chi phí cố định</t>
  </si>
  <si>
    <t xml:space="preserve">Lợi nhuận gộp</t>
  </si>
  <si>
    <t xml:space="preserve">Biên LN gộp</t>
  </si>
  <si>
    <t xml:space="preserve">EBITDA</t>
  </si>
  <si>
    <t xml:space="preserve">EBITDA Margin</t>
  </si>
  <si>
    <t xml:space="preserve">Số KH hiện tại</t>
  </si>
  <si>
    <t xml:space="preserve">Số KH hòa vốn</t>
  </si>
  <si>
    <t xml:space="preserve">Tháng hòa vốn dự kiến</t>
  </si>
  <si>
    <t xml:space="preserve">DOANH THU &amp; MARGIN THEO GÓI</t>
  </si>
  <si>
    <t xml:space="preserve">Gói dịch vụ</t>
  </si>
  <si>
    <t xml:space="preserve">DT/tháng</t>
  </si>
  <si>
    <t xml:space="preserve">Số KH</t>
  </si>
  <si>
    <t xml:space="preserve">G1 – BC Performance Ads™</t>
  </si>
  <si>
    <t xml:space="preserve">G2 – BC SEO &amp; Content™</t>
  </si>
  <si>
    <t xml:space="preserve">G3 – BC Social Media™</t>
  </si>
  <si>
    <t xml:space="preserve">G4 – BC TikTok &amp; Social Commerce™</t>
  </si>
  <si>
    <t xml:space="preserve">G5 – BC Digital Brand™</t>
  </si>
  <si>
    <t xml:space="preserve">G6 – BC Marketing Automation™</t>
  </si>
  <si>
    <t xml:space="preserve">G7 – BC Total Growth™</t>
  </si>
  <si>
    <t xml:space="preserve">DỰ BÁO NĂM (12 THÁNG)</t>
  </si>
  <si>
    <t xml:space="preserve">Tổng DT năm</t>
  </si>
  <si>
    <t xml:space="preserve">Tổng LN gộp năm</t>
  </si>
  <si>
    <t xml:space="preserve">Tổng EBITDA năm</t>
  </si>
  <si>
    <t xml:space="preserve">EBITDA Margin năm</t>
  </si>
  <si>
    <t xml:space="preserve">Số KH cuối năm</t>
  </si>
  <si>
    <t xml:space="preserve">CẤU HÌNH ĐẦU VÀO – MÔ HÌNH TÀI CHÍNH BC VIỆT NAM</t>
  </si>
  <si>
    <t xml:space="preserve">PHẦN A – SỐ KHÁCH HÀNG HIỆN TẠI / KẾ HOẠCH</t>
  </si>
  <si>
    <t xml:space="preserve">BẢNG CHI PHÍ NHÂN SỰ/KH (triệu/tháng)</t>
  </si>
  <si>
    <t xml:space="preserve">Mô hình NS</t>
  </si>
  <si>
    <t xml:space="preserve">Cơ Bản (CB)</t>
  </si>
  <si>
    <t xml:space="preserve">Tiêu Chuẩn (TC)</t>
  </si>
  <si>
    <t xml:space="preserve">Cao Cấp (CC)</t>
  </si>
  <si>
    <t xml:space="preserve">Tổng</t>
  </si>
  <si>
    <t xml:space="preserve">MÔ HÌNH 1 (Senior PM + Junior)</t>
  </si>
  <si>
    <t xml:space="preserve">MÔ HÌNH 2 (All Junior) — 0 = không khả dụng</t>
  </si>
  <si>
    <t xml:space="preserve">Mô hình 1</t>
  </si>
  <si>
    <t xml:space="preserve">Gói</t>
  </si>
  <si>
    <t xml:space="preserve">CB</t>
  </si>
  <si>
    <t xml:space="preserve">TC</t>
  </si>
  <si>
    <t xml:space="preserve">CC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</si>
  <si>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</si>
  <si>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</si>
  <si>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</si>
  <si>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</si>
  <si>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</si>
  <si>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</si>
  <si>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TỔNG KHÁCH HÀNG</t>
  </si>
  <si>
    <t xml:space="preserve">G7</t>
  </si>
  <si>
    <t xml:space="preserve">PHẦN B – GIÁ DỊCH VỤ TRUNG BÌNH (triệu VND/tháng)</t>
  </si>
  <si>
    <t xml:space="preserve">Cơ Bản</t>
  </si>
  <si>
    <t xml:space="preserve">Tiêu Chuẩn</t>
  </si>
  <si>
    <t xml:space="preserve">Cao Cấp</t>
  </si>
  <si>
    <t xml:space="preserve">G6 – Phí Setup (một lần)</t>
  </si>
  <si>
    <t xml:space="preserve">PHẦN C – CHI PHÍ NHÂN SỰ</t>
  </si>
  <si>
    <t xml:space="preserve">Lương tham chiếu (triệu/tháng gross)</t>
  </si>
  <si>
    <t xml:space="preserve">Vị trí</t>
  </si>
  <si>
    <t xml:space="preserve">Lương gross</t>
  </si>
  <si>
    <t xml:space="preserve">Junior Specialist (0-2 năm)</t>
  </si>
  <si>
    <t xml:space="preserve">Mid-level (2-4 năm)</t>
  </si>
  <si>
    <t xml:space="preserve">Senior Specialist (4+ năm)</t>
  </si>
  <si>
    <t xml:space="preserve">Senior PM / Account Manager</t>
  </si>
  <si>
    <t xml:space="preserve">Account Director</t>
  </si>
  <si>
    <t xml:space="preserve">Hệ số overhead (BHXH, thưởng...)</t>
  </si>
  <si>
    <t xml:space="preserve">Số nhân viên hiện tại (headcount)</t>
  </si>
  <si>
    <t xml:space="preserve">PHẦN D – CHI PHÍ CỐ ĐỊNH HÀNG THÁNG (triệu VND)</t>
  </si>
  <si>
    <t xml:space="preserve">Hạng mục</t>
  </si>
  <si>
    <t xml:space="preserve">Số tiền</t>
  </si>
  <si>
    <t xml:space="preserve">Thuê văn phòng</t>
  </si>
  <si>
    <t xml:space="preserve">Lương quản lý (BGĐ)</t>
  </si>
  <si>
    <t xml:space="preserve">Chi phí công cụ SaaS</t>
  </si>
  <si>
    <t xml:space="preserve">Chi phí khác (điện, internet...)</t>
  </si>
  <si>
    <t xml:space="preserve">Khấu hao thiết bị</t>
  </si>
  <si>
    <t xml:space="preserve">Marketing cho BC</t>
  </si>
  <si>
    <t xml:space="preserve">TỔNG CHI PHÍ CỐ ĐỊNH</t>
  </si>
  <si>
    <t xml:space="preserve">PHẦN E – GIẢ ĐỊNH TĂNG TRƯỞNG</t>
  </si>
  <si>
    <t xml:space="preserve">Thông số</t>
  </si>
  <si>
    <t xml:space="preserve">Giá trị</t>
  </si>
  <si>
    <t xml:space="preserve">Tốc độ tăng KH mỗi tháng (%)</t>
  </si>
  <si>
    <t xml:space="preserve">Tỷ lệ churn KH mỗi tháng (%)</t>
  </si>
  <si>
    <t xml:space="preserve">UNIT ECONOMICS – GÓI 1 ĐẾN 4</t>
  </si>
  <si>
    <t xml:space="preserve">Chỉ số</t>
  </si>
  <si>
    <t xml:space="preserve">Doanh thu/KH/tháng</t>
  </si>
  <si>
    <t xml:space="preserve">Chi phí NS/KH/tháng</t>
  </si>
  <si>
    <t xml:space="preserve">Chi phí tools/KH</t>
  </si>
  <si>
    <t xml:space="preserve">Lợi nhuận gộp/KH</t>
  </si>
  <si>
    <t xml:space="preserve">Biên LN gộp (%)</t>
  </si>
  <si>
    <t xml:space="preserve">Chi phí overhead/KH</t>
  </si>
  <si>
    <t xml:space="preserve">Lợi nhuận ròng/KH</t>
  </si>
  <si>
    <t xml:space="preserve">Biên LN ròng (%)</t>
  </si>
  <si>
    <t xml:space="preserve">TÓM TẮT BIÊN LỢI NHUẬN GỘP</t>
  </si>
  <si>
    <t xml:space="preserve">G1 – BC Performance Ads</t>
  </si>
  <si>
    <t xml:space="preserve">G2 – BC SEO &amp; Content</t>
  </si>
  <si>
    <t xml:space="preserve">G3 – BC Social Media</t>
  </si>
  <si>
    <t xml:space="preserve">G4 – BC TikTok &amp; Social Commerce</t>
  </si>
  <si>
    <t xml:space="preserve">UNIT ECONOMICS – GÓI 5 ĐẾ N 7</t>
  </si>
  <si>
    <t xml:space="preserve">DT/dự án</t>
  </si>
  <si>
    <t xml:space="preserve">CP NS/dự án</t>
  </si>
  <si>
    <t xml:space="preserve">CP tools/dự án</t>
  </si>
  <si>
    <t xml:space="preserve">LN gộp/dự án</t>
  </si>
  <si>
    <t xml:space="preserve">Số dự án/tháng</t>
  </si>
  <si>
    <t xml:space="preserve">DT tổng/tháng</t>
  </si>
  <si>
    <t xml:space="preserve">LN tổng/tháng</t>
  </si>
  <si>
    <t xml:space="preserve">Phí setup (1 lần)</t>
  </si>
  <si>
    <t xml:space="preserve">DT hàng tháng/KH</t>
  </si>
  <si>
    <t xml:space="preserve">CP NS/KH/tháng</t>
  </si>
  <si>
    <t xml:space="preserve">CP tools/KH</t>
  </si>
  <si>
    <t xml:space="preserve">LN hàng tháng/KH</t>
  </si>
  <si>
    <t xml:space="preserve">Biên LN tháng (%)</t>
  </si>
  <si>
    <t xml:space="preserve">Tháng recover setup</t>
  </si>
  <si>
    <t xml:space="preserve">Growth Starter</t>
  </si>
  <si>
    <t xml:space="preserve">Growth Pro</t>
  </si>
  <si>
    <t xml:space="preserve">Growth Enterprise</t>
  </si>
  <si>
    <t xml:space="preserve">DT/KH/tháng</t>
  </si>
  <si>
    <t xml:space="preserve">LN gộp/KH</t>
  </si>
  <si>
    <t xml:space="preserve">FTE quy đổi</t>
  </si>
  <si>
    <t xml:space="preserve">DT/FTE (triệu)</t>
  </si>
  <si>
    <t xml:space="preserve">G5 – Digital Brand</t>
  </si>
  <si>
    <t xml:space="preserve">G6 – Marketing Auto</t>
  </si>
  <si>
    <t xml:space="preserve">G7 – Total Growth</t>
  </si>
  <si>
    <t xml:space="preserve">BÁO CÁO LÃI LỖ DỰ KIẾ N 12 THÁNG (triệu VND)</t>
  </si>
  <si>
    <t xml:space="preserve">DOANH THU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</si>
  <si>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</si>
  <si>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</si>
  <si>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</si>
  <si>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</si>
  <si>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</si>
  <si>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</si>
  <si>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</si>
  <si>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</si>
  <si>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</si>
  <si>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</si>
  <si>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</si>
  <si>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</si>
  <si>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Tổng Năm</t>
  </si>
  <si>
    <t xml:space="preserve">TỔNG DOANH THU</t>
  </si>
  <si>
    <t xml:space="preserve">CHI PHÍ NHÂN SỰ</t>
  </si>
  <si>
    <t xml:space="preserve">TỔNG CHI PHÍ NS</t>
  </si>
  <si>
    <t xml:space="preserve">LỢI NHUẬN GỘP</t>
  </si>
  <si>
    <t xml:space="preserve">CHI PHÍ CỐ ĐỊNH HÀNG THÁNG</t>
  </si>
  <si>
    <t xml:space="preserve">Lương BGĐ</t>
  </si>
  <si>
    <t xml:space="preserve">Chi phí khác</t>
  </si>
  <si>
    <t xml:space="preserve">Khấu hao</t>
  </si>
  <si>
    <t xml:space="preserve">Marketing</t>
  </si>
  <si>
    <t xml:space="preserve">TỔNG CP CỐ ĐỊNH</t>
  </si>
  <si>
    <t xml:space="preserve">EBITDA Margin (%)</t>
  </si>
  <si>
    <t xml:space="preserve">SỐ KH TỔNG</t>
  </si>
  <si>
    <t xml:space="preserve">DOANH THU / NHÂN VIÊN</t>
  </si>
  <si>
    <t xml:space="preserve">PHÂN TÍCH HÒA VỐN</t>
  </si>
  <si>
    <t xml:space="preserve">HÒA VỐN THEO SỐ KHÁCH HÀNG</t>
  </si>
  <si>
    <t xml:space="preserve">Tổng chi phí NS tháng</t>
  </si>
  <si>
    <t xml:space="preserve">DT bình quân/KH</t>
  </si>
  <si>
    <t xml:space="preserve">CP NS bình quân/KH</t>
  </si>
  <si>
    <t xml:space="preserve">Contribution margin/KH</t>
  </si>
  <si>
    <t xml:space="preserve">SỐ KH HÒA VỐN</t>
  </si>
  <si>
    <t xml:space="preserve">Cần thêm (so với hiện tại)</t>
  </si>
  <si>
    <t xml:space="preserve">HÒA VỐN THEO THỜI GIAN</t>
  </si>
  <si>
    <t xml:space="preserve">EBITDA tháng 1</t>
  </si>
  <si>
    <t xml:space="preserve">Tốc độ tăng trưởng ròng/tháng</t>
  </si>
  <si>
    <t xml:space="preserve">THÁNG DỰ KIẾ N HÒA VỐN</t>
  </si>
  <si>
    <t xml:space="preserve">ĐỘ NHẠY BIÊN EBITDA: GIÁ vs CHI PHÍ NS</t>
  </si>
  <si>
    <t xml:space="preserve">Thay đổi giá ↓ \ Thay đổi CP NS →</t>
  </si>
  <si>
    <t xml:space="preserve">ĐỘ NHẠY BIÊN EBITDA: SỐ KH vs GIÁ</t>
  </si>
  <si>
    <t xml:space="preserve">Thay đổi số KH ↓ \ Thay đổi giá →</t>
  </si>
  <si>
    <t xml:space="preserve">SO SÁNH 3 KỊCH BẢN</t>
  </si>
  <si>
    <t xml:space="preserve">GIẢ ĐỊNH KỊCH BẢN</t>
  </si>
  <si>
    <t xml:space="preserve">Thận Trọng</t>
  </si>
  <si>
    <t xml:space="preserve">Cơ Sở</t>
  </si>
  <si>
    <t xml:space="preserve">Lạc Quan</t>
  </si>
  <si>
    <t xml:space="preserve">Tốc độ tăng KH/tháng</t>
  </si>
  <si>
    <t xml:space="preserve">Tỷ lệ churn/tháng</t>
  </si>
  <si>
    <t xml:space="preserve">Hệ số điều chỉnh giá</t>
  </si>
  <si>
    <t xml:space="preserve">KẾ T QUẢ DỰ KIẾ N</t>
  </si>
  <si>
    <t xml:space="preserve">DT tháng 1 (triệu)</t>
  </si>
  <si>
    <t xml:space="preserve">CP NS tháng 1</t>
  </si>
  <si>
    <t xml:space="preserve">CP cố định/tháng</t>
  </si>
  <si>
    <t xml:space="preserve">DT tháng 6</t>
  </si>
  <si>
    <t xml:space="preserve">CP NS tháng 6</t>
  </si>
  <si>
    <t xml:space="preserve">EBITDA tháng 6</t>
  </si>
  <si>
    <t xml:space="preserve">DT tháng 12</t>
  </si>
  <si>
    <t xml:space="preserve">CP NS tháng 12</t>
  </si>
  <si>
    <t xml:space="preserve">EBITDA tháng 12</t>
  </si>
  <si>
    <t xml:space="preserve">Tháng hòa vốn</t>
  </si>
  <si>
    <t xml:space="preserve">Headcount cần T12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</si>
</sst>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%"/>
    <numFmt numFmtId="167" formatCode="#,##0"/>
    <numFmt numFmtId="168" formatCode="0.00"/>
    <numFmt numFmtId="169" formatCode="0.0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3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003366"/>
      <name val="Arial"/>
      <family val="0"/>
      <charset val="1"/>
    </font>
    <font>
      <b val="true"/>
      <sz val="10"/>
      <color rgb="FF003366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E8F4FD"/>
        <bgColor rgb="FFF2F2F2"/>
      </patternFill>
    </fill>
    <fill>
      <patternFill patternType="solid">
        <fgColor rgb="FFF2F2F2"/>
        <bgColor rgb="FFE8F4FD"/>
      </patternFill>
    </fill>
    <fill>
      <patternFill patternType="solid">
        <fgColor rgb="FFD6E4F0"/>
        <bgColor rgb="FFE8F4FD"/>
      </patternFill>
    </fill>
    <fill>
      <patternFill patternType="solid">
        <fgColor rgb="FFFFB800"/>
        <bgColor rgb="FFBF8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2F2F2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B800"/>
      <rgbColor rgb="FFBF8F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20"/>
    <col collapsed="false" customWidth="true" hidden="false" outlineLevel="0" max="5" min="5" style="1" width="2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</row>
    <row r="4" customFormat="false" ht="15" hidden="false" customHeight="true" outlineLevel="0" collapsed="false">
      <c r="A4" s="4" t="s">
        <v>2</v>
      </c>
      <c r="B4" s="5" t="n">
        <f aca="false">'P&amp;L 12T'!B12</f>
        <v>321.5</v>
      </c>
      <c r="C4" s="6" t="s">
        <v>3</v>
      </c>
    </row>
    <row r="5" customFormat="false" ht="15" hidden="false" customHeight="true" outlineLevel="0" collapsed="false">
      <c r="A5" s="4" t="s">
        <v>4</v>
      </c>
      <c r="B5" s="5" t="n">
        <f aca="false">'P&amp;L 12T'!B22</f>
        <v>301.875</v>
      </c>
    </row>
    <row r="6" customFormat="false" ht="15" hidden="false" customHeight="true" outlineLevel="0" collapsed="false">
      <c r="A6" s="4" t="s">
        <v>5</v>
      </c>
      <c r="B6" s="5" t="n">
        <f aca="false">'P&amp;L 12T'!B34</f>
        <v>71</v>
      </c>
    </row>
    <row r="7" customFormat="false" ht="15" hidden="false" customHeight="true" outlineLevel="0" collapsed="false">
      <c r="A7" s="7" t="s">
        <v>6</v>
      </c>
      <c r="B7" s="8" t="n">
        <f aca="false">'P&amp;L 12T'!B24</f>
        <v>19.625</v>
      </c>
    </row>
    <row r="8" customFormat="false" ht="15" hidden="false" customHeight="true" outlineLevel="0" collapsed="false">
      <c r="A8" s="7" t="s">
        <v>7</v>
      </c>
      <c r="B8" s="9" t="n">
        <f aca="false">'P&amp;L 12T'!B25</f>
        <v>0.0610419906687403</v>
      </c>
    </row>
    <row r="9" customFormat="false" ht="15" hidden="false" customHeight="true" outlineLevel="0" collapsed="false">
      <c r="A9" s="7" t="s">
        <v>8</v>
      </c>
      <c r="B9" s="8" t="n">
        <f aca="false">'P&amp;L 12T'!B36</f>
        <v>-51.375</v>
      </c>
      <c r="C9" s="10" t="str">
        <f aca="false">IF(B9&gt;0,"✔ Tốt",IF(B9&gt;-10,"◐ Cần cải thiện","✘ Thấp"))</f>
        <v>✘ Thấp</v>
      </c>
    </row>
    <row r="10" customFormat="false" ht="15" hidden="false" customHeight="true" outlineLevel="0" collapsed="false">
      <c r="A10" s="7" t="s">
        <v>9</v>
      </c>
      <c r="B10" s="9" t="n">
        <f aca="false">'P&amp;L 12T'!B37</f>
        <v>-0.159797822706065</v>
      </c>
      <c r="C10" s="10" t="str">
        <f aca="false">IF(B10&gt;0.15,"✔ Tốt",IF(B10&gt;0,"◐ TB","✘ Lỗ"))</f>
        <v>✘ Lỗ</v>
      </c>
    </row>
    <row r="11" customFormat="false" ht="15" hidden="false" customHeight="true" outlineLevel="0" collapsed="false">
      <c r="A11" s="7" t="s">
        <v>10</v>
      </c>
      <c r="B11" s="11" t="n">
        <f aca="false">'Đầu Vào'!$F$12</f>
        <v>16</v>
      </c>
    </row>
    <row r="12" customFormat="false" ht="15" hidden="false" customHeight="true" outlineLevel="0" collapsed="false">
      <c r="A12" s="7" t="s">
        <v>11</v>
      </c>
      <c r="B12" s="11" t="n">
        <f aca="false">'Hòa Vốn'!B11</f>
        <v>58</v>
      </c>
    </row>
    <row r="13" customFormat="false" ht="15" hidden="false" customHeight="true" outlineLevel="0" collapsed="false">
      <c r="A13" s="7" t="s">
        <v>12</v>
      </c>
      <c r="B13" s="11" t="n">
        <f aca="false">'Hòa Vốn'!B17</f>
        <v>28</v>
      </c>
    </row>
    <row r="15" customFormat="false" ht="15" hidden="false" customHeight="true" outlineLevel="0" collapsed="false">
      <c r="A15" s="3" t="s">
        <v>13</v>
      </c>
      <c r="B15" s="3"/>
      <c r="C15" s="3"/>
      <c r="D15" s="3"/>
      <c r="E15" s="3"/>
    </row>
    <row r="16" customFormat="false" ht="15" hidden="false" customHeight="true" outlineLevel="0" collapsed="false">
      <c r="A16" s="6" t="s">
        <v>14</v>
      </c>
      <c r="B16" s="6" t="s">
        <v>15</v>
      </c>
      <c r="C16" s="6" t="s">
        <v>7</v>
      </c>
      <c r="D16" s="6" t="s">
        <v>16</v>
      </c>
      <c r="E16" s="6" t="s">
        <v>3</v>
      </c>
    </row>
    <row r="17" customFormat="false" ht="15" hidden="false" customHeight="true" outlineLevel="0" collapsed="false">
      <c r="A17" s="4" t="s">
        <v>17</v>
      </c>
      <c r="B17" s="5" t="n">
        <f aca="false">'P&amp;L 12T'!B5</f>
        <v>109</v>
      </c>
      <c r="C17" s="12" t="n">
        <f aca="false">IF('P&amp;L 12T'!B5=0,0,('P&amp;L 12T'!B5-'P&amp;L 12T'!B15)/'P&amp;L 12T'!B5)</f>
        <v>0.261467889908257</v>
      </c>
      <c r="D17" s="11" t="n">
        <f aca="false">'Đầu Vào'!F5</f>
        <v>6</v>
      </c>
      <c r="E17" s="10" t="str">
        <f aca="false">IF(C17&gt;0.4,"✔ Tốt",IF(C17&gt;0.2,"◐ TB","✘ Cần cải thiện"))</f>
        <v>◐ TB</v>
      </c>
    </row>
    <row r="18" customFormat="false" ht="15" hidden="false" customHeight="true" outlineLevel="0" collapsed="false">
      <c r="A18" s="4" t="s">
        <v>18</v>
      </c>
      <c r="B18" s="5" t="n">
        <f aca="false">'P&amp;L 12T'!B6</f>
        <v>43</v>
      </c>
      <c r="C18" s="12" t="n">
        <f aca="false">IF('P&amp;L 12T'!B6=0,0,('P&amp;L 12T'!B6-'P&amp;L 12T'!B16)/'P&amp;L 12T'!B6)</f>
        <v>0.251162790697675</v>
      </c>
      <c r="D18" s="11" t="n">
        <f aca="false">'Đầu Vào'!F6</f>
        <v>3</v>
      </c>
      <c r="E18" s="10" t="str">
        <f aca="false">IF(C18&gt;0.4,"✔ Tốt",IF(C18&gt;0.2,"◐ TB","✘ Cần cải thiện"))</f>
        <v>◐ TB</v>
      </c>
    </row>
    <row r="19" customFormat="false" ht="15" hidden="false" customHeight="true" outlineLevel="0" collapsed="false">
      <c r="A19" s="4" t="s">
        <v>19</v>
      </c>
      <c r="B19" s="5" t="n">
        <f aca="false">'P&amp;L 12T'!B7</f>
        <v>34.5</v>
      </c>
      <c r="C19" s="12" t="n">
        <f aca="false">IF('P&amp;L 12T'!B7=0,0,('P&amp;L 12T'!B7-'P&amp;L 12T'!B17)/'P&amp;L 12T'!B7)</f>
        <v>-0.216666666666667</v>
      </c>
      <c r="D19" s="11" t="n">
        <f aca="false">'Đầu Vào'!F7</f>
        <v>3</v>
      </c>
      <c r="E19" s="10" t="str">
        <f aca="false">IF(C19&gt;0.4,"✔ Tốt",IF(C19&gt;0.2,"◐ TB","✘ Cần cải thiện"))</f>
        <v>✘ Cần cải thiện</v>
      </c>
    </row>
    <row r="20" customFormat="false" ht="15" hidden="false" customHeight="true" outlineLevel="0" collapsed="false">
      <c r="A20" s="4" t="s">
        <v>20</v>
      </c>
      <c r="B20" s="5" t="n">
        <f aca="false">'P&amp;L 12T'!B8</f>
        <v>35</v>
      </c>
      <c r="C20" s="12" t="n">
        <f aca="false">IF('P&amp;L 12T'!B8=0,0,('P&amp;L 12T'!B8-'P&amp;L 12T'!B18)/'P&amp;L 12T'!B8)</f>
        <v>-0.215714285714286</v>
      </c>
      <c r="D20" s="11" t="n">
        <f aca="false">'Đầu Vào'!F8</f>
        <v>2</v>
      </c>
      <c r="E20" s="10" t="str">
        <f aca="false">IF(C20&gt;0.4,"✔ Tốt",IF(C20&gt;0.2,"◐ TB","✘ Cần cải thiện"))</f>
        <v>✘ Cần cải thiện</v>
      </c>
    </row>
    <row r="21" customFormat="false" ht="15" hidden="false" customHeight="true" outlineLevel="0" collapsed="false">
      <c r="A21" s="4" t="s">
        <v>21</v>
      </c>
      <c r="B21" s="5" t="n">
        <f aca="false">'P&amp;L 12T'!B9</f>
        <v>20</v>
      </c>
      <c r="C21" s="12" t="n">
        <f aca="false">IF('P&amp;L 12T'!B9=0,0,('P&amp;L 12T'!B9-'P&amp;L 12T'!B19)/'P&amp;L 12T'!B9)</f>
        <v>0.1375</v>
      </c>
      <c r="D21" s="11" t="n">
        <f aca="false">'Đầu Vào'!F9</f>
        <v>1</v>
      </c>
      <c r="E21" s="10" t="str">
        <f aca="false">IF(C21&gt;0.4,"✔ Tốt",IF(C21&gt;0.2,"◐ TB","✘ Cần cải thiện"))</f>
        <v>✘ Cần cải thiện</v>
      </c>
    </row>
    <row r="22" customFormat="false" ht="15" hidden="false" customHeight="true" outlineLevel="0" collapsed="false">
      <c r="A22" s="4" t="s">
        <v>22</v>
      </c>
      <c r="B22" s="5" t="n">
        <f aca="false">'P&amp;L 12T'!B10</f>
        <v>0</v>
      </c>
      <c r="C22" s="12" t="n">
        <f aca="false">IF('P&amp;L 12T'!B10=0,0,('P&amp;L 12T'!B10-'P&amp;L 12T'!B20)/'P&amp;L 12T'!B10)</f>
        <v>0</v>
      </c>
      <c r="D22" s="11" t="n">
        <f aca="false">'Đầu Vào'!F10</f>
        <v>0</v>
      </c>
      <c r="E22" s="10" t="str">
        <f aca="false">IF(C22&gt;0.4,"✔ Tốt",IF(C22&gt;0.2,"◐ TB","✘ Cần cải thiện"))</f>
        <v>✘ Cần cải thiện</v>
      </c>
    </row>
    <row r="23" customFormat="false" ht="15" hidden="false" customHeight="true" outlineLevel="0" collapsed="false">
      <c r="A23" s="4" t="s">
        <v>23</v>
      </c>
      <c r="B23" s="5" t="n">
        <f aca="false">'P&amp;L 12T'!B11</f>
        <v>80</v>
      </c>
      <c r="C23" s="12" t="n">
        <f aca="false">IF('P&amp;L 12T'!B11=0,0,('P&amp;L 12T'!B11-'P&amp;L 12T'!B21)/'P&amp;L 12T'!B11)</f>
        <v>-0.0924999999999999</v>
      </c>
      <c r="D23" s="11" t="n">
        <f aca="false">'Đầu Vào'!F11</f>
        <v>1</v>
      </c>
      <c r="E23" s="10" t="str">
        <f aca="false">IF(C23&gt;0.4,"✔ Tốt",IF(C23&gt;0.2,"◐ TB","✘ Cần cải thiện"))</f>
        <v>✘ Cần cải thiện</v>
      </c>
    </row>
    <row r="25" customFormat="false" ht="15" hidden="false" customHeight="true" outlineLevel="0" collapsed="false">
      <c r="A25" s="3" t="s">
        <v>24</v>
      </c>
      <c r="B25" s="3"/>
      <c r="C25" s="3"/>
    </row>
    <row r="26" customFormat="false" ht="15" hidden="false" customHeight="true" outlineLevel="0" collapsed="false">
      <c r="A26" s="7" t="s">
        <v>25</v>
      </c>
      <c r="B26" s="5" t="n">
        <f aca="false">'P&amp;L 12T'!N12</f>
        <v>5117.35617632229</v>
      </c>
    </row>
    <row r="27" customFormat="false" ht="15" hidden="false" customHeight="true" outlineLevel="0" collapsed="false">
      <c r="A27" s="7" t="s">
        <v>26</v>
      </c>
      <c r="B27" s="5" t="n">
        <f aca="false">'P&amp;L 12T'!N24</f>
        <v>312.373607963686</v>
      </c>
    </row>
    <row r="28" customFormat="false" ht="15" hidden="false" customHeight="true" outlineLevel="0" collapsed="false">
      <c r="A28" s="7" t="s">
        <v>27</v>
      </c>
      <c r="B28" s="5" t="n">
        <f aca="false">'P&amp;L 12T'!N36</f>
        <v>-539.626392036314</v>
      </c>
    </row>
    <row r="29" customFormat="false" ht="15" hidden="false" customHeight="true" outlineLevel="0" collapsed="false">
      <c r="A29" s="7" t="s">
        <v>28</v>
      </c>
      <c r="B29" s="13" t="n">
        <f aca="false">'P&amp;L 12T'!N37</f>
        <v>-0.10545023122157</v>
      </c>
    </row>
    <row r="30" customFormat="false" ht="15" hidden="false" customHeight="true" outlineLevel="0" collapsed="false">
      <c r="A30" s="7" t="s">
        <v>29</v>
      </c>
      <c r="B30" s="11" t="n">
        <f aca="false">'P&amp;L 12T'!M39</f>
        <v>27</v>
      </c>
    </row>
  </sheetData>
  <mergeCells count="4">
    <mergeCell ref="A1:E1"/>
    <mergeCell ref="A3:E3"/>
    <mergeCell ref="A15:E15"/>
    <mergeCell ref="A25:C25"/>
  </mergeCells>
  <conditionalFormatting sqref="C17:C23">
    <cfRule type="cellIs" priority="2" operator="greater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0.2</formula>
      <formula>0.4</formula>
    </cfRule>
    <cfRule type="cellIs" priority="4" operator="lessThan" aboveAverage="0" equalAverage="0" bottom="0" percent="0" rank="0" text="" dxfId="2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6" min="3" style="1" width="15"/>
    <col collapsed="false" customWidth="true" hidden="false" outlineLevel="0" max="7" min="7" style="1" width="3"/>
    <col collapsed="false" customWidth="true" hidden="false" outlineLevel="0" max="8" min="8" style="1" width="32"/>
    <col collapsed="false" customWidth="true" hidden="false" outlineLevel="0" max="11" min="9" style="1" width="13"/>
    <col collapsed="false" customWidth="true" hidden="false" outlineLevel="0" max="12" min="12" style="1" width="3"/>
    <col collapsed="false" customWidth="true" hidden="false" outlineLevel="0" max="13" min="13" style="1" width="32"/>
    <col collapsed="false" customWidth="true" hidden="false" outlineLevel="0" max="16" min="14" style="1" width="13"/>
  </cols>
  <sheetData>
    <row r="1" customFormat="false" ht="17.25" hidden="false" customHeight="true" outlineLevel="0" collapsed="false">
      <c r="A1" s="14" t="s">
        <v>30</v>
      </c>
      <c r="B1" s="14"/>
      <c r="C1" s="14"/>
      <c r="D1" s="14"/>
      <c r="E1" s="14"/>
      <c r="F1" s="14"/>
    </row>
    <row r="3" customFormat="false" ht="15" hidden="false" customHeight="true" outlineLevel="0" collapsed="false">
      <c r="A3" s="3" t="s">
        <v>31</v>
      </c>
      <c r="B3" s="3"/>
      <c r="C3" s="3"/>
      <c r="D3" s="3"/>
      <c r="E3" s="3"/>
      <c r="F3" s="3"/>
      <c r="H3" s="15" t="s">
        <v>32</v>
      </c>
      <c r="I3" s="15"/>
      <c r="J3" s="15"/>
      <c r="K3" s="15"/>
      <c r="M3" s="16"/>
      <c r="N3" s="16"/>
      <c r="O3" s="16"/>
      <c r="P3" s="16"/>
    </row>
    <row r="4" customFormat="false" ht="15" hidden="false" customHeight="true" outlineLevel="0" collapsed="false">
      <c r="A4" s="6" t="s">
        <v>14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H4" s="17" t="s">
        <v>38</v>
      </c>
      <c r="I4" s="17"/>
      <c r="J4" s="17"/>
      <c r="K4" s="17"/>
      <c r="M4" s="17" t="s">
        <v>39</v>
      </c>
      <c r="N4" s="17"/>
      <c r="O4" s="17"/>
      <c r="P4" s="17"/>
    </row>
    <row r="5" customFormat="false" ht="15" hidden="false" customHeight="true" outlineLevel="0" collapsed="false">
      <c r="A5" s="4" t="s">
        <v>17</v>
      </c>
      <c r="B5" s="18" t="s">
        <v>40</v>
      </c>
      <c r="C5" s="19" t="n">
        <v>3</v>
      </c>
      <c r="D5" s="19" t="n">
        <v>2</v>
      </c>
      <c r="E5" s="19" t="n">
        <v>1</v>
      </c>
      <c r="F5" s="20" t="n">
        <f aca="false">SUM(C5:E5)</f>
        <v>6</v>
      </c>
      <c r="H5" s="6" t="s">
        <v>41</v>
      </c>
      <c r="I5" s="6" t="s">
        <v>42</v>
      </c>
      <c r="J5" s="6" t="s">
        <v>43</v>
      </c>
      <c r="K5" s="6" t="s">
        <v>44</v>
      </c>
      <c r="M5" s="6" t="s">
        <v>41</v>
      </c>
      <c r="N5" s="6" t="s">
        <v>42</v>
      </c>
      <c r="O5" s="6" t="s">
        <v>43</v>
      </c>
      <c r="P5" s="6" t="s">
        <v>44</v>
      </c>
    </row>
    <row r="6" customFormat="false" ht="15" hidden="false" customHeight="true" outlineLevel="0" collapsed="false">
      <c r="A6" s="4" t="s">
        <v>18</v>
      </c>
      <c r="B6" s="18" t="s">
        <v>40</v>
      </c>
      <c r="C6" s="19" t="n">
        <v>2</v>
      </c>
      <c r="D6" s="19" t="n">
        <v>1</v>
      </c>
      <c r="E6" s="19" t="n">
        <v>0</v>
      </c>
      <c r="F6" s="20" t="n">
        <f aca="false">SUM(C6:E6)</f>
        <v>3</v>
      </c>
      <c r="H6" s="4" t="s">
        <v>45</v>
      </c>
      <c r="I6" s="21" t="n">
        <v>6</v>
      </c>
      <c r="J6" s="21" t="n">
        <v>12.5</v>
      </c>
      <c r="K6" s="21" t="n">
        <v>27</v>
      </c>
      <c r="M6" s="4" t="s">
        <v>45</v>
      </c>
      <c r="N6" s="21" t="n">
        <v>4</v>
      </c>
      <c r="O6" s="21" t="n">
        <v>9</v>
      </c>
      <c r="P6" s="21" t="n">
        <v>18.5</v>
      </c>
    </row>
    <row r="7" customFormat="false" ht="15" hidden="false" customHeight="true" outlineLevel="0" collapsed="false">
      <c r="A7" s="4" t="s">
        <v>19</v>
      </c>
      <c r="B7" s="18" t="s">
        <v>40</v>
      </c>
      <c r="C7" s="19" t="n">
        <v>2</v>
      </c>
      <c r="D7" s="19" t="n">
        <v>1</v>
      </c>
      <c r="E7" s="19" t="n">
        <v>0</v>
      </c>
      <c r="F7" s="20" t="n">
        <f aca="false">SUM(C7:E7)</f>
        <v>3</v>
      </c>
      <c r="H7" s="4" t="s">
        <v>46</v>
      </c>
      <c r="I7" s="21" t="n">
        <v>6.5</v>
      </c>
      <c r="J7" s="21" t="n">
        <v>15</v>
      </c>
      <c r="K7" s="21" t="n">
        <v>31.5</v>
      </c>
      <c r="M7" s="4" t="s">
        <v>46</v>
      </c>
      <c r="N7" s="21" t="n">
        <v>5</v>
      </c>
      <c r="O7" s="21" t="n">
        <v>11.5</v>
      </c>
      <c r="P7" s="21" t="n">
        <v>23</v>
      </c>
    </row>
    <row r="8" customFormat="false" ht="15" hidden="false" customHeight="true" outlineLevel="0" collapsed="false">
      <c r="A8" s="4" t="s">
        <v>20</v>
      </c>
      <c r="B8" s="18" t="s">
        <v>40</v>
      </c>
      <c r="C8" s="19" t="n">
        <v>1</v>
      </c>
      <c r="D8" s="19" t="n">
        <v>1</v>
      </c>
      <c r="E8" s="19" t="n">
        <v>0</v>
      </c>
      <c r="F8" s="20" t="n">
        <f aca="false">SUM(C8:E8)</f>
        <v>2</v>
      </c>
      <c r="H8" s="4" t="s">
        <v>47</v>
      </c>
      <c r="I8" s="21" t="n">
        <v>9.5</v>
      </c>
      <c r="J8" s="21" t="n">
        <v>17.5</v>
      </c>
      <c r="K8" s="21" t="n">
        <v>36</v>
      </c>
      <c r="M8" s="4" t="s">
        <v>47</v>
      </c>
      <c r="N8" s="21" t="n">
        <v>6</v>
      </c>
      <c r="O8" s="21" t="n">
        <v>12.5</v>
      </c>
      <c r="P8" s="21" t="n">
        <v>29.5</v>
      </c>
    </row>
    <row r="9" customFormat="false" ht="15" hidden="false" customHeight="true" outlineLevel="0" collapsed="false">
      <c r="A9" s="4" t="s">
        <v>21</v>
      </c>
      <c r="B9" s="18" t="s">
        <v>40</v>
      </c>
      <c r="C9" s="19" t="n">
        <v>1</v>
      </c>
      <c r="D9" s="19" t="n">
        <v>0</v>
      </c>
      <c r="E9" s="19" t="n">
        <v>0</v>
      </c>
      <c r="F9" s="20" t="n">
        <f aca="false">SUM(C9:E9)</f>
        <v>1</v>
      </c>
      <c r="H9" s="4" t="s">
        <v>48</v>
      </c>
      <c r="I9" s="21" t="n">
        <v>12</v>
      </c>
      <c r="J9" s="21" t="n">
        <v>25</v>
      </c>
      <c r="K9" s="21" t="n">
        <v>52.5</v>
      </c>
      <c r="M9" s="4" t="s">
        <v>48</v>
      </c>
      <c r="N9" s="21" t="n">
        <v>8.5</v>
      </c>
      <c r="O9" s="21" t="n">
        <v>0</v>
      </c>
      <c r="P9" s="21" t="n">
        <v>0</v>
      </c>
    </row>
    <row r="10" customFormat="false" ht="15" hidden="false" customHeight="true" outlineLevel="0" collapsed="false">
      <c r="A10" s="4" t="s">
        <v>22</v>
      </c>
      <c r="B10" s="18" t="s">
        <v>40</v>
      </c>
      <c r="C10" s="19" t="n">
        <v>0</v>
      </c>
      <c r="D10" s="19" t="n">
        <v>0</v>
      </c>
      <c r="E10" s="19" t="n">
        <v>0</v>
      </c>
      <c r="F10" s="20" t="n">
        <f aca="false">SUM(C10:E10)</f>
        <v>0</v>
      </c>
      <c r="H10" s="4" t="s">
        <v>49</v>
      </c>
      <c r="I10" s="21" t="n">
        <v>15</v>
      </c>
      <c r="J10" s="21" t="n">
        <v>34</v>
      </c>
      <c r="K10" s="21" t="n">
        <v>67.5</v>
      </c>
      <c r="M10" s="4" t="s">
        <v>49</v>
      </c>
      <c r="N10" s="21" t="n">
        <v>9.5</v>
      </c>
      <c r="O10" s="21" t="n">
        <v>23</v>
      </c>
      <c r="P10" s="21" t="n">
        <v>0</v>
      </c>
    </row>
    <row r="11" customFormat="false" ht="15" hidden="false" customHeight="true" outlineLevel="0" collapsed="false">
      <c r="A11" s="4" t="s">
        <v>23</v>
      </c>
      <c r="B11" s="18" t="s">
        <v>40</v>
      </c>
      <c r="C11" s="19" t="n">
        <v>0</v>
      </c>
      <c r="D11" s="19" t="n">
        <v>1</v>
      </c>
      <c r="E11" s="19" t="n">
        <v>0</v>
      </c>
      <c r="F11" s="20" t="n">
        <f aca="false">SUM(C11:E11)</f>
        <v>1</v>
      </c>
      <c r="H11" s="4" t="s">
        <v>50</v>
      </c>
      <c r="I11" s="21" t="n">
        <v>23.5</v>
      </c>
      <c r="J11" s="21" t="n">
        <v>38.5</v>
      </c>
      <c r="K11" s="21" t="n">
        <v>62</v>
      </c>
      <c r="M11" s="4" t="s">
        <v>50</v>
      </c>
      <c r="N11" s="21" t="n">
        <v>0</v>
      </c>
      <c r="O11" s="21" t="n">
        <v>0</v>
      </c>
      <c r="P11" s="21" t="n">
        <v>0</v>
      </c>
    </row>
    <row r="12" customFormat="false" ht="15" hidden="false" customHeight="true" outlineLevel="0" collapsed="false">
      <c r="A12" s="7" t="s">
        <v>51</v>
      </c>
      <c r="B12" s="22"/>
      <c r="C12" s="23" t="n">
        <f aca="false">SUM(C5:C11)</f>
        <v>9</v>
      </c>
      <c r="D12" s="23" t="n">
        <f aca="false">SUM(D5:D11)</f>
        <v>6</v>
      </c>
      <c r="E12" s="23" t="n">
        <f aca="false">SUM(E5:E11)</f>
        <v>1</v>
      </c>
      <c r="F12" s="23" t="n">
        <f aca="false">SUM(F5:F11)</f>
        <v>16</v>
      </c>
      <c r="H12" s="4" t="s">
        <v>52</v>
      </c>
      <c r="I12" s="21" t="n">
        <v>46.5</v>
      </c>
      <c r="J12" s="21" t="n">
        <v>76</v>
      </c>
      <c r="K12" s="21" t="n">
        <v>145</v>
      </c>
      <c r="M12" s="4" t="s">
        <v>52</v>
      </c>
      <c r="N12" s="21" t="n">
        <v>38.5</v>
      </c>
      <c r="O12" s="21" t="n">
        <v>0</v>
      </c>
      <c r="P12" s="21" t="n">
        <v>0</v>
      </c>
    </row>
    <row r="14" customFormat="false" ht="15" hidden="false" customHeight="true" outlineLevel="0" collapsed="false">
      <c r="A14" s="3" t="s">
        <v>53</v>
      </c>
      <c r="B14" s="3"/>
      <c r="C14" s="3"/>
      <c r="D14" s="3"/>
      <c r="E14" s="3"/>
    </row>
    <row r="15" customFormat="false" ht="15" hidden="false" customHeight="true" outlineLevel="0" collapsed="false">
      <c r="A15" s="6" t="s">
        <v>14</v>
      </c>
      <c r="B15" s="6"/>
      <c r="C15" s="6" t="s">
        <v>54</v>
      </c>
      <c r="D15" s="6" t="s">
        <v>55</v>
      </c>
      <c r="E15" s="6" t="s">
        <v>56</v>
      </c>
    </row>
    <row r="16" customFormat="false" ht="15" hidden="false" customHeight="true" outlineLevel="0" collapsed="false">
      <c r="A16" s="4" t="s">
        <v>17</v>
      </c>
      <c r="B16" s="24"/>
      <c r="C16" s="25" t="n">
        <v>10.5</v>
      </c>
      <c r="D16" s="25" t="n">
        <v>20</v>
      </c>
      <c r="E16" s="25" t="n">
        <v>37.5</v>
      </c>
    </row>
    <row r="17" customFormat="false" ht="15" hidden="false" customHeight="true" outlineLevel="0" collapsed="false">
      <c r="A17" s="4" t="s">
        <v>18</v>
      </c>
      <c r="B17" s="24"/>
      <c r="C17" s="25" t="n">
        <v>10</v>
      </c>
      <c r="D17" s="25" t="n">
        <v>23</v>
      </c>
      <c r="E17" s="25" t="n">
        <v>45</v>
      </c>
    </row>
    <row r="18" customFormat="false" ht="15" hidden="false" customHeight="true" outlineLevel="0" collapsed="false">
      <c r="A18" s="4" t="s">
        <v>19</v>
      </c>
      <c r="B18" s="24"/>
      <c r="C18" s="25" t="n">
        <v>8</v>
      </c>
      <c r="D18" s="25" t="n">
        <v>18.5</v>
      </c>
      <c r="E18" s="25" t="n">
        <v>32.5</v>
      </c>
    </row>
    <row r="19" customFormat="false" ht="15" hidden="false" customHeight="true" outlineLevel="0" collapsed="false">
      <c r="A19" s="4" t="s">
        <v>20</v>
      </c>
      <c r="B19" s="24"/>
      <c r="C19" s="25" t="n">
        <v>10</v>
      </c>
      <c r="D19" s="25" t="n">
        <v>25</v>
      </c>
      <c r="E19" s="25" t="n">
        <v>50</v>
      </c>
    </row>
    <row r="20" customFormat="false" ht="15" hidden="false" customHeight="true" outlineLevel="0" collapsed="false">
      <c r="A20" s="4" t="s">
        <v>21</v>
      </c>
      <c r="B20" s="24"/>
      <c r="C20" s="25" t="n">
        <v>20</v>
      </c>
      <c r="D20" s="25" t="n">
        <v>47.5</v>
      </c>
      <c r="E20" s="25" t="n">
        <v>95</v>
      </c>
    </row>
    <row r="21" customFormat="false" ht="15" hidden="false" customHeight="true" outlineLevel="0" collapsed="false">
      <c r="A21" s="4" t="s">
        <v>22</v>
      </c>
      <c r="B21" s="24"/>
      <c r="C21" s="25" t="n">
        <v>6.5</v>
      </c>
      <c r="D21" s="25" t="n">
        <v>16</v>
      </c>
      <c r="E21" s="25" t="n">
        <v>35</v>
      </c>
    </row>
    <row r="22" customFormat="false" ht="15" hidden="false" customHeight="true" outlineLevel="0" collapsed="false">
      <c r="A22" s="4" t="s">
        <v>23</v>
      </c>
      <c r="B22" s="24"/>
      <c r="C22" s="25" t="n">
        <v>45</v>
      </c>
      <c r="D22" s="25" t="n">
        <v>80</v>
      </c>
      <c r="E22" s="25" t="n">
        <v>160</v>
      </c>
    </row>
    <row r="23" customFormat="false" ht="15" hidden="false" customHeight="true" outlineLevel="0" collapsed="false">
      <c r="A23" s="26" t="s">
        <v>57</v>
      </c>
      <c r="B23" s="24"/>
      <c r="C23" s="25" t="n">
        <v>12.5</v>
      </c>
      <c r="D23" s="25" t="n">
        <v>27.5</v>
      </c>
      <c r="E23" s="25" t="n">
        <v>65</v>
      </c>
    </row>
    <row r="25" customFormat="false" ht="15" hidden="false" customHeight="true" outlineLevel="0" collapsed="false">
      <c r="A25" s="3" t="s">
        <v>58</v>
      </c>
      <c r="B25" s="3"/>
    </row>
    <row r="26" customFormat="false" ht="15" hidden="false" customHeight="true" outlineLevel="0" collapsed="false">
      <c r="A26" s="26" t="s">
        <v>59</v>
      </c>
    </row>
    <row r="27" customFormat="false" ht="15" hidden="false" customHeight="true" outlineLevel="0" collapsed="false">
      <c r="A27" s="6" t="s">
        <v>60</v>
      </c>
      <c r="B27" s="6" t="s">
        <v>61</v>
      </c>
    </row>
    <row r="28" customFormat="false" ht="15" hidden="false" customHeight="true" outlineLevel="0" collapsed="false">
      <c r="A28" s="4" t="s">
        <v>62</v>
      </c>
      <c r="B28" s="25" t="n">
        <v>10.5</v>
      </c>
    </row>
    <row r="29" customFormat="false" ht="15" hidden="false" customHeight="true" outlineLevel="0" collapsed="false">
      <c r="A29" s="4" t="s">
        <v>63</v>
      </c>
      <c r="B29" s="25" t="n">
        <v>16.5</v>
      </c>
    </row>
    <row r="30" customFormat="false" ht="15" hidden="false" customHeight="true" outlineLevel="0" collapsed="false">
      <c r="A30" s="4" t="s">
        <v>64</v>
      </c>
      <c r="B30" s="25" t="n">
        <v>25</v>
      </c>
    </row>
    <row r="31" customFormat="false" ht="15" hidden="false" customHeight="true" outlineLevel="0" collapsed="false">
      <c r="A31" s="4" t="s">
        <v>65</v>
      </c>
      <c r="B31" s="25" t="n">
        <v>33</v>
      </c>
    </row>
    <row r="32" customFormat="false" ht="15" hidden="false" customHeight="true" outlineLevel="0" collapsed="false">
      <c r="A32" s="4" t="s">
        <v>66</v>
      </c>
      <c r="B32" s="25" t="n">
        <v>52.5</v>
      </c>
    </row>
    <row r="34" customFormat="false" ht="15" hidden="false" customHeight="true" outlineLevel="0" collapsed="false">
      <c r="A34" s="7" t="s">
        <v>67</v>
      </c>
      <c r="B34" s="27" t="n">
        <v>1.15</v>
      </c>
    </row>
    <row r="35" customFormat="false" ht="15" hidden="false" customHeight="true" outlineLevel="0" collapsed="false">
      <c r="A35" s="7" t="s">
        <v>68</v>
      </c>
      <c r="B35" s="19" t="n">
        <v>5</v>
      </c>
    </row>
    <row r="37" customFormat="false" ht="15" hidden="false" customHeight="true" outlineLevel="0" collapsed="false">
      <c r="A37" s="3" t="s">
        <v>69</v>
      </c>
      <c r="B37" s="3"/>
    </row>
    <row r="38" customFormat="false" ht="15" hidden="false" customHeight="true" outlineLevel="0" collapsed="false">
      <c r="A38" s="6" t="s">
        <v>70</v>
      </c>
      <c r="B38" s="6" t="s">
        <v>71</v>
      </c>
    </row>
    <row r="39" customFormat="false" ht="15" hidden="false" customHeight="true" outlineLevel="0" collapsed="false">
      <c r="A39" s="4" t="s">
        <v>72</v>
      </c>
      <c r="B39" s="25" t="n">
        <v>15</v>
      </c>
    </row>
    <row r="40" customFormat="false" ht="15" hidden="false" customHeight="true" outlineLevel="0" collapsed="false">
      <c r="A40" s="4" t="s">
        <v>73</v>
      </c>
      <c r="B40" s="25" t="n">
        <v>30</v>
      </c>
    </row>
    <row r="41" customFormat="false" ht="15" hidden="false" customHeight="true" outlineLevel="0" collapsed="false">
      <c r="A41" s="4" t="s">
        <v>74</v>
      </c>
      <c r="B41" s="25" t="n">
        <v>13</v>
      </c>
    </row>
    <row r="42" customFormat="false" ht="15" hidden="false" customHeight="true" outlineLevel="0" collapsed="false">
      <c r="A42" s="4" t="s">
        <v>75</v>
      </c>
      <c r="B42" s="25" t="n">
        <v>5</v>
      </c>
    </row>
    <row r="43" customFormat="false" ht="15" hidden="false" customHeight="true" outlineLevel="0" collapsed="false">
      <c r="A43" s="4" t="s">
        <v>76</v>
      </c>
      <c r="B43" s="25" t="n">
        <v>3</v>
      </c>
    </row>
    <row r="44" customFormat="false" ht="15" hidden="false" customHeight="true" outlineLevel="0" collapsed="false">
      <c r="A44" s="4" t="s">
        <v>77</v>
      </c>
      <c r="B44" s="25" t="n">
        <v>5</v>
      </c>
    </row>
    <row r="45" customFormat="false" ht="15" hidden="false" customHeight="true" outlineLevel="0" collapsed="false">
      <c r="A45" s="7" t="s">
        <v>78</v>
      </c>
      <c r="B45" s="8" t="n">
        <f aca="false">SUM(B39:B44)</f>
        <v>71</v>
      </c>
    </row>
    <row r="47" customFormat="false" ht="15" hidden="false" customHeight="true" outlineLevel="0" collapsed="false">
      <c r="A47" s="3" t="s">
        <v>79</v>
      </c>
      <c r="B47" s="3"/>
    </row>
    <row r="48" customFormat="false" ht="15" hidden="false" customHeight="true" outlineLevel="0" collapsed="false">
      <c r="A48" s="6" t="s">
        <v>80</v>
      </c>
      <c r="B48" s="6" t="s">
        <v>81</v>
      </c>
    </row>
    <row r="49" customFormat="false" ht="15" hidden="false" customHeight="true" outlineLevel="0" collapsed="false">
      <c r="A49" s="4" t="s">
        <v>82</v>
      </c>
      <c r="B49" s="28" t="n">
        <v>0.1</v>
      </c>
    </row>
    <row r="50" customFormat="false" ht="15" hidden="false" customHeight="true" outlineLevel="0" collapsed="false">
      <c r="A50" s="4" t="s">
        <v>83</v>
      </c>
      <c r="B50" s="28" t="n">
        <v>0.05</v>
      </c>
    </row>
  </sheetData>
  <mergeCells count="10">
    <mergeCell ref="A1:F1"/>
    <mergeCell ref="A3:F3"/>
    <mergeCell ref="H3:K3"/>
    <mergeCell ref="M3:P3"/>
    <mergeCell ref="H4:K4"/>
    <mergeCell ref="M4:P4"/>
    <mergeCell ref="A14:E14"/>
    <mergeCell ref="A25:B25"/>
    <mergeCell ref="A37:B37"/>
    <mergeCell ref="A47:B47"/>
  </mergeCells>
  <dataValidations count="1">
    <dataValidation allowBlank="false" errorStyle="stop" operator="between" prompt="Chọn mô hình nhân sự" promptTitle="Mô hình" showDropDown="false" showErrorMessage="false" showInputMessage="false" sqref="B5:B11" type="list">
      <formula1>"Mô hình 1,Mô hình 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14" t="s">
        <v>84</v>
      </c>
      <c r="B1" s="14"/>
      <c r="C1" s="14"/>
      <c r="D1" s="14"/>
    </row>
    <row r="3" customFormat="false" ht="15" hidden="false" customHeight="true" outlineLevel="0" collapsed="false">
      <c r="A3" s="3" t="s">
        <v>17</v>
      </c>
      <c r="B3" s="3"/>
      <c r="C3" s="3"/>
      <c r="D3" s="3"/>
    </row>
    <row r="4" customFormat="false" ht="15" hidden="false" customHeight="true" outlineLevel="0" collapsed="false">
      <c r="A4" s="6" t="s">
        <v>85</v>
      </c>
      <c r="B4" s="6" t="s">
        <v>34</v>
      </c>
      <c r="C4" s="6" t="s">
        <v>35</v>
      </c>
      <c r="D4" s="6" t="s">
        <v>36</v>
      </c>
    </row>
    <row r="5" customFormat="false" ht="15" hidden="false" customHeight="true" outlineLevel="0" collapsed="false">
      <c r="A5" s="4" t="s">
        <v>86</v>
      </c>
      <c r="B5" s="5" t="n">
        <f aca="false">'Đầu Vào'!C16</f>
        <v>10.5</v>
      </c>
      <c r="C5" s="5" t="n">
        <f aca="false">'Đầu Vào'!D16</f>
        <v>20</v>
      </c>
      <c r="D5" s="5" t="n">
        <f aca="false">'Đầu Vào'!E16</f>
        <v>37.5</v>
      </c>
    </row>
    <row r="6" customFormat="false" ht="15" hidden="false" customHeight="true" outlineLevel="0" collapsed="false">
      <c r="A6" s="4" t="s">
        <v>87</v>
      </c>
      <c r="B6" s="29" t="n">
        <f aca="false">IF('Đầu Vào'!$B$5="Mô hình 1",'Đầu Vào'!$I$6,'Đầu Vào'!$N$6)*'Đầu Vào'!$B$34</f>
        <v>6.9</v>
      </c>
      <c r="C6" s="29" t="n">
        <f aca="false">IF('Đầu Vào'!$B$5="Mô hình 1",'Đầu Vào'!$J$6,'Đầu Vào'!$O$6)*'Đầu Vào'!$B$34</f>
        <v>14.375</v>
      </c>
      <c r="D6" s="29" t="n">
        <f aca="false">IF('Đầu Vào'!$B$5="Mô hình 1",'Đầu Vào'!$K$6,'Đầu Vào'!$P$6)*'Đầu Vào'!$B$34</f>
        <v>31.05</v>
      </c>
    </row>
    <row r="7" customFormat="false" ht="15" hidden="false" customHeight="true" outlineLevel="0" collapsed="false">
      <c r="A7" s="4" t="s">
        <v>88</v>
      </c>
      <c r="B7" s="29" t="n">
        <f aca="false">IFERROR('Đầu Vào'!$B$41/'Đầu Vào'!$F$12,0)</f>
        <v>0.8125</v>
      </c>
      <c r="C7" s="29" t="n">
        <f aca="false">IFERROR('Đầu Vào'!$B$41/'Đầu Vào'!$F$12,0)</f>
        <v>0.8125</v>
      </c>
      <c r="D7" s="29" t="n">
        <f aca="false">IFERROR('Đầu Vào'!$B$41/'Đầu Vào'!$F$12,0)</f>
        <v>0.8125</v>
      </c>
    </row>
    <row r="8" customFormat="false" ht="15" hidden="false" customHeight="true" outlineLevel="0" collapsed="false">
      <c r="A8" s="7" t="s">
        <v>89</v>
      </c>
      <c r="B8" s="8" t="n">
        <f aca="false">B5-B6-B7</f>
        <v>2.7875</v>
      </c>
      <c r="C8" s="8" t="n">
        <f aca="false">C5-C6-C7</f>
        <v>4.8125</v>
      </c>
      <c r="D8" s="8" t="n">
        <f aca="false">D5-D6-D7</f>
        <v>5.6375</v>
      </c>
    </row>
    <row r="9" customFormat="false" ht="15" hidden="false" customHeight="true" outlineLevel="0" collapsed="false">
      <c r="A9" s="7" t="s">
        <v>90</v>
      </c>
      <c r="B9" s="12" t="n">
        <f aca="false">IF(B5=0,0,B8/B5)</f>
        <v>0.265476190476191</v>
      </c>
      <c r="C9" s="12" t="n">
        <f aca="false">IF(C5=0,0,C8/C5)</f>
        <v>0.240625</v>
      </c>
      <c r="D9" s="12" t="n">
        <f aca="false">IF(D5=0,0,D8/D5)</f>
        <v>0.150333333333333</v>
      </c>
    </row>
    <row r="10" customFormat="false" ht="15" hidden="false" customHeight="true" outlineLevel="0" collapsed="false">
      <c r="A10" s="4" t="s">
        <v>91</v>
      </c>
      <c r="B10" s="29" t="n">
        <f aca="false">IFERROR(('Đầu Vào'!$B$45-'Đầu Vào'!$B$41)/'Đầu Vào'!$F$12,0)</f>
        <v>3.625</v>
      </c>
      <c r="C10" s="29" t="n">
        <f aca="false">IFERROR(('Đầu Vào'!$B$45-'Đầu Vào'!$B$41)/'Đầu Vào'!$F$12,0)</f>
        <v>3.625</v>
      </c>
      <c r="D10" s="29" t="n">
        <f aca="false">IFERROR(('Đầu Vào'!$B$45-'Đầu Vào'!$B$41)/'Đầu Vào'!$F$12,0)</f>
        <v>3.625</v>
      </c>
    </row>
    <row r="11" customFormat="false" ht="15" hidden="false" customHeight="true" outlineLevel="0" collapsed="false">
      <c r="A11" s="4" t="s">
        <v>92</v>
      </c>
      <c r="B11" s="8" t="n">
        <f aca="false">B8-B10</f>
        <v>-0.8375</v>
      </c>
      <c r="C11" s="8" t="n">
        <f aca="false">C8-C10</f>
        <v>1.1875</v>
      </c>
      <c r="D11" s="8" t="n">
        <f aca="false">D8-D10</f>
        <v>2.0125</v>
      </c>
    </row>
    <row r="12" customFormat="false" ht="15" hidden="false" customHeight="true" outlineLevel="0" collapsed="false">
      <c r="A12" s="7" t="s">
        <v>93</v>
      </c>
      <c r="B12" s="12" t="n">
        <f aca="false">IF(B5=0,0,B11/B5)</f>
        <v>-0.0797619047619047</v>
      </c>
      <c r="C12" s="12" t="n">
        <f aca="false">IF(C5=0,0,C11/C5)</f>
        <v>0.0593750000000001</v>
      </c>
      <c r="D12" s="12" t="n">
        <f aca="false">IF(D5=0,0,D11/D5)</f>
        <v>0.0536666666666667</v>
      </c>
    </row>
    <row r="13" customFormat="false" ht="15" hidden="false" customHeight="true" outlineLevel="0" collapsed="false">
      <c r="A13" s="7" t="s">
        <v>11</v>
      </c>
      <c r="B13" s="20" t="n">
        <f aca="false">IFERROR(ROUNDUP('Đầu Vào'!$B$45/IF(B5-B6&lt;=0,0.001,B5-B6),0),0)</f>
        <v>20</v>
      </c>
      <c r="C13" s="20" t="n">
        <f aca="false">IFERROR(ROUNDUP('Đầu Vào'!$B$45/IF(C5-C6&lt;=0,0.001,C5-C6),0),0)</f>
        <v>13</v>
      </c>
      <c r="D13" s="20" t="n">
        <f aca="false">IFERROR(ROUNDUP('Đầu Vào'!$B$45/IF(D5-D6&lt;=0,0.001,D5-D6),0),0)</f>
        <v>12</v>
      </c>
    </row>
    <row r="15" customFormat="false" ht="15" hidden="false" customHeight="true" outlineLevel="0" collapsed="false">
      <c r="A15" s="3" t="s">
        <v>18</v>
      </c>
      <c r="B15" s="3"/>
      <c r="C15" s="3"/>
      <c r="D15" s="3"/>
    </row>
    <row r="16" customFormat="false" ht="15" hidden="false" customHeight="true" outlineLevel="0" collapsed="false">
      <c r="A16" s="6" t="s">
        <v>85</v>
      </c>
      <c r="B16" s="6" t="s">
        <v>34</v>
      </c>
      <c r="C16" s="6" t="s">
        <v>35</v>
      </c>
      <c r="D16" s="6" t="s">
        <v>36</v>
      </c>
    </row>
    <row r="17" customFormat="false" ht="15" hidden="false" customHeight="true" outlineLevel="0" collapsed="false">
      <c r="A17" s="4" t="s">
        <v>86</v>
      </c>
      <c r="B17" s="5" t="n">
        <f aca="false">'Đầu Vào'!C17</f>
        <v>10</v>
      </c>
      <c r="C17" s="5" t="n">
        <f aca="false">'Đầu Vào'!D17</f>
        <v>23</v>
      </c>
      <c r="D17" s="5" t="n">
        <f aca="false">'Đầu Vào'!E17</f>
        <v>45</v>
      </c>
    </row>
    <row r="18" customFormat="false" ht="15" hidden="false" customHeight="true" outlineLevel="0" collapsed="false">
      <c r="A18" s="4" t="s">
        <v>87</v>
      </c>
      <c r="B18" s="29" t="n">
        <f aca="false">IF('Đầu Vào'!$B$6="Mô hình 1",'Đầu Vào'!$I$7,'Đầu Vào'!$N$7)*'Đầu Vào'!$B$34</f>
        <v>7.475</v>
      </c>
      <c r="C18" s="29" t="n">
        <f aca="false">IF('Đầu Vào'!$B$6="Mô hình 1",'Đầu Vào'!$J$7,'Đầu Vào'!$O$7)*'Đầu Vào'!$B$34</f>
        <v>17.25</v>
      </c>
      <c r="D18" s="29" t="n">
        <f aca="false">IF('Đầu Vào'!$B$6="Mô hình 1",'Đầu Vào'!$K$7,'Đầu Vào'!$P$7)*'Đầu Vào'!$B$34</f>
        <v>36.225</v>
      </c>
    </row>
    <row r="19" customFormat="false" ht="15" hidden="false" customHeight="true" outlineLevel="0" collapsed="false">
      <c r="A19" s="4" t="s">
        <v>88</v>
      </c>
      <c r="B19" s="29" t="n">
        <f aca="false">IFERROR('Đầu Vào'!$B$41/'Đầu Vào'!$F$12,0)</f>
        <v>0.8125</v>
      </c>
      <c r="C19" s="29" t="n">
        <f aca="false">IFERROR('Đầu Vào'!$B$41/'Đầu Vào'!$F$12,0)</f>
        <v>0.8125</v>
      </c>
      <c r="D19" s="29" t="n">
        <f aca="false">IFERROR('Đầu Vào'!$B$41/'Đầu Vào'!$F$12,0)</f>
        <v>0.8125</v>
      </c>
    </row>
    <row r="20" customFormat="false" ht="15" hidden="false" customHeight="true" outlineLevel="0" collapsed="false">
      <c r="A20" s="7" t="s">
        <v>89</v>
      </c>
      <c r="B20" s="8" t="n">
        <f aca="false">B17-B18-B19</f>
        <v>1.7125</v>
      </c>
      <c r="C20" s="8" t="n">
        <f aca="false">C17-C18-C19</f>
        <v>4.9375</v>
      </c>
      <c r="D20" s="8" t="n">
        <f aca="false">D17-D18-D19</f>
        <v>7.96250000000001</v>
      </c>
    </row>
    <row r="21" customFormat="false" ht="15" hidden="false" customHeight="true" outlineLevel="0" collapsed="false">
      <c r="A21" s="7" t="s">
        <v>90</v>
      </c>
      <c r="B21" s="12" t="n">
        <f aca="false">IF(B17=0,0,B20/B17)</f>
        <v>0.17125</v>
      </c>
      <c r="C21" s="12" t="n">
        <f aca="false">IF(C17=0,0,C20/C17)</f>
        <v>0.214673913043478</v>
      </c>
      <c r="D21" s="12" t="n">
        <f aca="false">IF(D17=0,0,D20/D17)</f>
        <v>0.176944444444445</v>
      </c>
    </row>
    <row r="22" customFormat="false" ht="15" hidden="false" customHeight="true" outlineLevel="0" collapsed="false">
      <c r="A22" s="4" t="s">
        <v>91</v>
      </c>
      <c r="B22" s="29" t="n">
        <f aca="false">IFERROR(('Đầu Vào'!$B$45-'Đầu Vào'!$B$41)/'Đầu Vào'!$F$12,0)</f>
        <v>3.625</v>
      </c>
      <c r="C22" s="29" t="n">
        <f aca="false">IFERROR(('Đầu Vào'!$B$45-'Đầu Vào'!$B$41)/'Đầu Vào'!$F$12,0)</f>
        <v>3.625</v>
      </c>
      <c r="D22" s="29" t="n">
        <f aca="false">IFERROR(('Đầu Vào'!$B$45-'Đầu Vào'!$B$41)/'Đầu Vào'!$F$12,0)</f>
        <v>3.625</v>
      </c>
    </row>
    <row r="23" customFormat="false" ht="15" hidden="false" customHeight="true" outlineLevel="0" collapsed="false">
      <c r="A23" s="4" t="s">
        <v>92</v>
      </c>
      <c r="B23" s="8" t="n">
        <f aca="false">B20-B22</f>
        <v>-1.9125</v>
      </c>
      <c r="C23" s="8" t="n">
        <f aca="false">C20-C22</f>
        <v>1.3125</v>
      </c>
      <c r="D23" s="8" t="n">
        <f aca="false">D20-D22</f>
        <v>4.33750000000001</v>
      </c>
    </row>
    <row r="24" customFormat="false" ht="15" hidden="false" customHeight="true" outlineLevel="0" collapsed="false">
      <c r="A24" s="7" t="s">
        <v>93</v>
      </c>
      <c r="B24" s="12" t="n">
        <f aca="false">IF(B17=0,0,B23/B17)</f>
        <v>-0.19125</v>
      </c>
      <c r="C24" s="12" t="n">
        <f aca="false">IF(C17=0,0,C23/C17)</f>
        <v>0.0570652173913043</v>
      </c>
      <c r="D24" s="12" t="n">
        <f aca="false">IF(D17=0,0,D23/D17)</f>
        <v>0.096388888888889</v>
      </c>
    </row>
    <row r="25" customFormat="false" ht="15" hidden="false" customHeight="true" outlineLevel="0" collapsed="false">
      <c r="A25" s="7" t="s">
        <v>11</v>
      </c>
      <c r="B25" s="20" t="n">
        <f aca="false">IFERROR(ROUNDUP('Đầu Vào'!$B$45/IF(B17-B18&lt;=0,0.001,B17-B18),0),0)</f>
        <v>29</v>
      </c>
      <c r="C25" s="20" t="n">
        <f aca="false">IFERROR(ROUNDUP('Đầu Vào'!$B$45/IF(C17-C18&lt;=0,0.001,C17-C18),0),0)</f>
        <v>13</v>
      </c>
      <c r="D25" s="20" t="n">
        <f aca="false">IFERROR(ROUNDUP('Đầu Vào'!$B$45/IF(D17-D18&lt;=0,0.001,D17-D18),0),0)</f>
        <v>9</v>
      </c>
    </row>
    <row r="27" customFormat="false" ht="15" hidden="false" customHeight="true" outlineLevel="0" collapsed="false">
      <c r="A27" s="3" t="s">
        <v>19</v>
      </c>
      <c r="B27" s="3"/>
      <c r="C27" s="3"/>
      <c r="D27" s="3"/>
    </row>
    <row r="28" customFormat="false" ht="15" hidden="false" customHeight="true" outlineLevel="0" collapsed="false">
      <c r="A28" s="6" t="s">
        <v>85</v>
      </c>
      <c r="B28" s="6" t="s">
        <v>34</v>
      </c>
      <c r="C28" s="6" t="s">
        <v>35</v>
      </c>
      <c r="D28" s="6" t="s">
        <v>36</v>
      </c>
    </row>
    <row r="29" customFormat="false" ht="15" hidden="false" customHeight="true" outlineLevel="0" collapsed="false">
      <c r="A29" s="4" t="s">
        <v>86</v>
      </c>
      <c r="B29" s="5" t="n">
        <f aca="false">'Đầu Vào'!C18</f>
        <v>8</v>
      </c>
      <c r="C29" s="5" t="n">
        <f aca="false">'Đầu Vào'!D18</f>
        <v>18.5</v>
      </c>
      <c r="D29" s="5" t="n">
        <f aca="false">'Đầu Vào'!E18</f>
        <v>32.5</v>
      </c>
    </row>
    <row r="30" customFormat="false" ht="15" hidden="false" customHeight="true" outlineLevel="0" collapsed="false">
      <c r="A30" s="4" t="s">
        <v>87</v>
      </c>
      <c r="B30" s="29" t="n">
        <f aca="false">IF('Đầu Vào'!$B$7="Mô hình 1",'Đầu Vào'!$I$8,'Đầu Vào'!$N$8)*'Đầu Vào'!$B$34</f>
        <v>10.925</v>
      </c>
      <c r="C30" s="29" t="n">
        <f aca="false">IF('Đầu Vào'!$B$7="Mô hình 1",'Đầu Vào'!$J$8,'Đầu Vào'!$O$8)*'Đầu Vào'!$B$34</f>
        <v>20.125</v>
      </c>
      <c r="D30" s="29" t="n">
        <f aca="false">IF('Đầu Vào'!$B$7="Mô hình 1",'Đầu Vào'!$K$8,'Đầu Vào'!$P$8)*'Đầu Vào'!$B$34</f>
        <v>41.4</v>
      </c>
    </row>
    <row r="31" customFormat="false" ht="15" hidden="false" customHeight="true" outlineLevel="0" collapsed="false">
      <c r="A31" s="4" t="s">
        <v>88</v>
      </c>
      <c r="B31" s="29" t="n">
        <f aca="false">IFERROR('Đầu Vào'!$B$41/'Đầu Vào'!$F$12,0)</f>
        <v>0.8125</v>
      </c>
      <c r="C31" s="29" t="n">
        <f aca="false">IFERROR('Đầu Vào'!$B$41/'Đầu Vào'!$F$12,0)</f>
        <v>0.8125</v>
      </c>
      <c r="D31" s="29" t="n">
        <f aca="false">IFERROR('Đầu Vào'!$B$41/'Đầu Vào'!$F$12,0)</f>
        <v>0.8125</v>
      </c>
    </row>
    <row r="32" customFormat="false" ht="15" hidden="false" customHeight="true" outlineLevel="0" collapsed="false">
      <c r="A32" s="7" t="s">
        <v>89</v>
      </c>
      <c r="B32" s="8" t="n">
        <f aca="false">B29-B30-B31</f>
        <v>-3.7375</v>
      </c>
      <c r="C32" s="8" t="n">
        <f aca="false">C29-C30-C31</f>
        <v>-2.4375</v>
      </c>
      <c r="D32" s="8" t="n">
        <f aca="false">D29-D30-D31</f>
        <v>-9.7125</v>
      </c>
    </row>
    <row r="33" customFormat="false" ht="15" hidden="false" customHeight="true" outlineLevel="0" collapsed="false">
      <c r="A33" s="7" t="s">
        <v>90</v>
      </c>
      <c r="B33" s="12" t="n">
        <f aca="false">IF(B29=0,0,B32/B29)</f>
        <v>-0.4671875</v>
      </c>
      <c r="C33" s="12" t="n">
        <f aca="false">IF(C29=0,0,C32/C29)</f>
        <v>-0.131756756756757</v>
      </c>
      <c r="D33" s="12" t="n">
        <f aca="false">IF(D29=0,0,D32/D29)</f>
        <v>-0.298846153846154</v>
      </c>
    </row>
    <row r="34" customFormat="false" ht="15" hidden="false" customHeight="true" outlineLevel="0" collapsed="false">
      <c r="A34" s="4" t="s">
        <v>91</v>
      </c>
      <c r="B34" s="29" t="n">
        <f aca="false">IFERROR(('Đầu Vào'!$B$45-'Đầu Vào'!$B$41)/'Đầu Vào'!$F$12,0)</f>
        <v>3.625</v>
      </c>
      <c r="C34" s="29" t="n">
        <f aca="false">IFERROR(('Đầu Vào'!$B$45-'Đầu Vào'!$B$41)/'Đầu Vào'!$F$12,0)</f>
        <v>3.625</v>
      </c>
      <c r="D34" s="29" t="n">
        <f aca="false">IFERROR(('Đầu Vào'!$B$45-'Đầu Vào'!$B$41)/'Đầu Vào'!$F$12,0)</f>
        <v>3.625</v>
      </c>
    </row>
    <row r="35" customFormat="false" ht="15" hidden="false" customHeight="true" outlineLevel="0" collapsed="false">
      <c r="A35" s="4" t="s">
        <v>92</v>
      </c>
      <c r="B35" s="8" t="n">
        <f aca="false">B32-B34</f>
        <v>-7.3625</v>
      </c>
      <c r="C35" s="8" t="n">
        <f aca="false">C32-C34</f>
        <v>-6.0625</v>
      </c>
      <c r="D35" s="8" t="n">
        <f aca="false">D32-D34</f>
        <v>-13.3375</v>
      </c>
    </row>
    <row r="36" customFormat="false" ht="15" hidden="false" customHeight="true" outlineLevel="0" collapsed="false">
      <c r="A36" s="7" t="s">
        <v>93</v>
      </c>
      <c r="B36" s="12" t="n">
        <f aca="false">IF(B29=0,0,B35/B29)</f>
        <v>-0.9203125</v>
      </c>
      <c r="C36" s="12" t="n">
        <f aca="false">IF(C29=0,0,C35/C29)</f>
        <v>-0.327702702702703</v>
      </c>
      <c r="D36" s="12" t="n">
        <f aca="false">IF(D29=0,0,D35/D29)</f>
        <v>-0.410384615384615</v>
      </c>
    </row>
    <row r="37" customFormat="false" ht="15" hidden="false" customHeight="true" outlineLevel="0" collapsed="false">
      <c r="A37" s="7" t="s">
        <v>11</v>
      </c>
      <c r="B37" s="20" t="n">
        <f aca="false">IFERROR(ROUNDUP('Đầu Vào'!$B$45/IF(B29-B30&lt;=0,0.001,B29-B30),0),0)</f>
        <v>71000</v>
      </c>
      <c r="C37" s="20" t="n">
        <f aca="false">IFERROR(ROUNDUP('Đầu Vào'!$B$45/IF(C29-C30&lt;=0,0.001,C29-C30),0),0)</f>
        <v>71000</v>
      </c>
      <c r="D37" s="20" t="n">
        <f aca="false">IFERROR(ROUNDUP('Đầu Vào'!$B$45/IF(D29-D30&lt;=0,0.001,D29-D30),0),0)</f>
        <v>71000</v>
      </c>
    </row>
    <row r="39" customFormat="false" ht="15" hidden="false" customHeight="true" outlineLevel="0" collapsed="false">
      <c r="A39" s="3" t="s">
        <v>20</v>
      </c>
      <c r="B39" s="3"/>
      <c r="C39" s="3"/>
      <c r="D39" s="3"/>
    </row>
    <row r="40" customFormat="false" ht="15" hidden="false" customHeight="true" outlineLevel="0" collapsed="false">
      <c r="A40" s="6" t="s">
        <v>85</v>
      </c>
      <c r="B40" s="6" t="s">
        <v>34</v>
      </c>
      <c r="C40" s="6" t="s">
        <v>35</v>
      </c>
      <c r="D40" s="6" t="s">
        <v>36</v>
      </c>
    </row>
    <row r="41" customFormat="false" ht="15" hidden="false" customHeight="true" outlineLevel="0" collapsed="false">
      <c r="A41" s="4" t="s">
        <v>86</v>
      </c>
      <c r="B41" s="5" t="n">
        <f aca="false">'Đầu Vào'!C19</f>
        <v>10</v>
      </c>
      <c r="C41" s="5" t="n">
        <f aca="false">'Đầu Vào'!D19</f>
        <v>25</v>
      </c>
      <c r="D41" s="5" t="n">
        <f aca="false">'Đầu Vào'!E19</f>
        <v>50</v>
      </c>
    </row>
    <row r="42" customFormat="false" ht="15" hidden="false" customHeight="true" outlineLevel="0" collapsed="false">
      <c r="A42" s="4" t="s">
        <v>87</v>
      </c>
      <c r="B42" s="29" t="n">
        <f aca="false">IF('Đầu Vào'!$B$8="Mô hình 1",'Đầu Vào'!$I$9,'Đầu Vào'!$N$9)*'Đầu Vào'!$B$34</f>
        <v>13.8</v>
      </c>
      <c r="C42" s="29" t="n">
        <f aca="false">IF('Đầu Vào'!$B$8="Mô hình 1",'Đầu Vào'!$J$9,'Đầu Vào'!$O$9)*'Đầu Vào'!$B$34</f>
        <v>28.75</v>
      </c>
      <c r="D42" s="29" t="n">
        <f aca="false">IF('Đầu Vào'!$B$8="Mô hình 1",'Đầu Vào'!$K$9,'Đầu Vào'!$P$9)*'Đầu Vào'!$B$34</f>
        <v>60.375</v>
      </c>
    </row>
    <row r="43" customFormat="false" ht="15" hidden="false" customHeight="true" outlineLevel="0" collapsed="false">
      <c r="A43" s="4" t="s">
        <v>88</v>
      </c>
      <c r="B43" s="29" t="n">
        <f aca="false">IFERROR('Đầu Vào'!$B$41/'Đầu Vào'!$F$12,0)</f>
        <v>0.8125</v>
      </c>
      <c r="C43" s="29" t="n">
        <f aca="false">IFERROR('Đầu Vào'!$B$41/'Đầu Vào'!$F$12,0)</f>
        <v>0.8125</v>
      </c>
      <c r="D43" s="29" t="n">
        <f aca="false">IFERROR('Đầu Vào'!$B$41/'Đầu Vào'!$F$12,0)</f>
        <v>0.8125</v>
      </c>
    </row>
    <row r="44" customFormat="false" ht="15" hidden="false" customHeight="true" outlineLevel="0" collapsed="false">
      <c r="A44" s="7" t="s">
        <v>89</v>
      </c>
      <c r="B44" s="8" t="n">
        <f aca="false">B41-B42-B43</f>
        <v>-4.6125</v>
      </c>
      <c r="C44" s="8" t="n">
        <f aca="false">C41-C42-C43</f>
        <v>-4.5625</v>
      </c>
      <c r="D44" s="8" t="n">
        <f aca="false">D41-D42-D43</f>
        <v>-11.1875</v>
      </c>
    </row>
    <row r="45" customFormat="false" ht="15" hidden="false" customHeight="true" outlineLevel="0" collapsed="false">
      <c r="A45" s="7" t="s">
        <v>90</v>
      </c>
      <c r="B45" s="12" t="n">
        <f aca="false">IF(B41=0,0,B44/B41)</f>
        <v>-0.46125</v>
      </c>
      <c r="C45" s="12" t="n">
        <f aca="false">IF(C41=0,0,C44/C41)</f>
        <v>-0.1825</v>
      </c>
      <c r="D45" s="12" t="n">
        <f aca="false">IF(D41=0,0,D44/D41)</f>
        <v>-0.22375</v>
      </c>
    </row>
    <row r="46" customFormat="false" ht="15" hidden="false" customHeight="true" outlineLevel="0" collapsed="false">
      <c r="A46" s="4" t="s">
        <v>91</v>
      </c>
      <c r="B46" s="29" t="n">
        <f aca="false">IFERROR(('Đầu Vào'!$B$45-'Đầu Vào'!$B$41)/'Đầu Vào'!$F$12,0)</f>
        <v>3.625</v>
      </c>
      <c r="C46" s="29" t="n">
        <f aca="false">IFERROR(('Đầu Vào'!$B$45-'Đầu Vào'!$B$41)/'Đầu Vào'!$F$12,0)</f>
        <v>3.625</v>
      </c>
      <c r="D46" s="29" t="n">
        <f aca="false">IFERROR(('Đầu Vào'!$B$45-'Đầu Vào'!$B$41)/'Đầu Vào'!$F$12,0)</f>
        <v>3.625</v>
      </c>
    </row>
    <row r="47" customFormat="false" ht="15" hidden="false" customHeight="true" outlineLevel="0" collapsed="false">
      <c r="A47" s="4" t="s">
        <v>92</v>
      </c>
      <c r="B47" s="8" t="n">
        <f aca="false">B44-B46</f>
        <v>-8.2375</v>
      </c>
      <c r="C47" s="8" t="n">
        <f aca="false">C44-C46</f>
        <v>-8.1875</v>
      </c>
      <c r="D47" s="8" t="n">
        <f aca="false">D44-D46</f>
        <v>-14.8125</v>
      </c>
    </row>
    <row r="48" customFormat="false" ht="15" hidden="false" customHeight="true" outlineLevel="0" collapsed="false">
      <c r="A48" s="7" t="s">
        <v>93</v>
      </c>
      <c r="B48" s="12" t="n">
        <f aca="false">IF(B41=0,0,B47/B41)</f>
        <v>-0.82375</v>
      </c>
      <c r="C48" s="12" t="n">
        <f aca="false">IF(C41=0,0,C47/C41)</f>
        <v>-0.3275</v>
      </c>
      <c r="D48" s="12" t="n">
        <f aca="false">IF(D41=0,0,D47/D41)</f>
        <v>-0.29625</v>
      </c>
    </row>
    <row r="49" customFormat="false" ht="15" hidden="false" customHeight="true" outlineLevel="0" collapsed="false">
      <c r="A49" s="7" t="s">
        <v>11</v>
      </c>
      <c r="B49" s="20" t="n">
        <f aca="false">IFERROR(ROUNDUP('Đầu Vào'!$B$45/IF(B41-B42&lt;=0,0.001,B41-B42),0),0)</f>
        <v>71000</v>
      </c>
      <c r="C49" s="20" t="n">
        <f aca="false">IFERROR(ROUNDUP('Đầu Vào'!$B$45/IF(C41-C42&lt;=0,0.001,C41-C42),0),0)</f>
        <v>71000</v>
      </c>
      <c r="D49" s="20" t="n">
        <f aca="false">IFERROR(ROUNDUP('Đầu Vào'!$B$45/IF(D41-D42&lt;=0,0.001,D41-D42),0),0)</f>
        <v>71000</v>
      </c>
    </row>
    <row r="52" customFormat="false" ht="15" hidden="false" customHeight="true" outlineLevel="0" collapsed="false">
      <c r="A52" s="3" t="s">
        <v>94</v>
      </c>
      <c r="B52" s="3"/>
      <c r="C52" s="3"/>
      <c r="D52" s="3"/>
    </row>
    <row r="53" customFormat="false" ht="15" hidden="false" customHeight="true" outlineLevel="0" collapsed="false">
      <c r="A53" s="6" t="s">
        <v>41</v>
      </c>
      <c r="B53" s="6" t="s">
        <v>42</v>
      </c>
      <c r="C53" s="6" t="s">
        <v>43</v>
      </c>
      <c r="D53" s="6" t="s">
        <v>44</v>
      </c>
    </row>
    <row r="54" customFormat="false" ht="15" hidden="false" customHeight="true" outlineLevel="0" collapsed="false">
      <c r="A54" s="4" t="s">
        <v>95</v>
      </c>
      <c r="B54" s="12" t="n">
        <f aca="false">B9</f>
        <v>0.265476190476191</v>
      </c>
      <c r="C54" s="12" t="n">
        <f aca="false">C9</f>
        <v>0.240625</v>
      </c>
      <c r="D54" s="12" t="n">
        <f aca="false">D9</f>
        <v>0.150333333333333</v>
      </c>
    </row>
    <row r="55" customFormat="false" ht="15" hidden="false" customHeight="true" outlineLevel="0" collapsed="false">
      <c r="A55" s="4" t="s">
        <v>96</v>
      </c>
      <c r="B55" s="12" t="n">
        <f aca="false">B21</f>
        <v>0.17125</v>
      </c>
      <c r="C55" s="12" t="n">
        <f aca="false">C21</f>
        <v>0.214673913043478</v>
      </c>
      <c r="D55" s="12" t="n">
        <f aca="false">D21</f>
        <v>0.176944444444445</v>
      </c>
    </row>
    <row r="56" customFormat="false" ht="15" hidden="false" customHeight="true" outlineLevel="0" collapsed="false">
      <c r="A56" s="4" t="s">
        <v>97</v>
      </c>
      <c r="B56" s="12" t="n">
        <f aca="false">B33</f>
        <v>-0.4671875</v>
      </c>
      <c r="C56" s="12" t="n">
        <f aca="false">C33</f>
        <v>-0.131756756756757</v>
      </c>
      <c r="D56" s="12" t="n">
        <f aca="false">D33</f>
        <v>-0.298846153846154</v>
      </c>
    </row>
    <row r="57" customFormat="false" ht="15" hidden="false" customHeight="true" outlineLevel="0" collapsed="false">
      <c r="A57" s="4" t="s">
        <v>98</v>
      </c>
      <c r="B57" s="12" t="n">
        <f aca="false">B45</f>
        <v>-0.46125</v>
      </c>
      <c r="C57" s="12" t="n">
        <f aca="false">C45</f>
        <v>-0.1825</v>
      </c>
      <c r="D57" s="12" t="n">
        <f aca="false">D45</f>
        <v>-0.22375</v>
      </c>
    </row>
  </sheetData>
  <mergeCells count="6">
    <mergeCell ref="A1:D1"/>
    <mergeCell ref="A3:D3"/>
    <mergeCell ref="A15:D15"/>
    <mergeCell ref="A27:D27"/>
    <mergeCell ref="A39:D39"/>
    <mergeCell ref="A52:D52"/>
  </mergeCells>
  <conditionalFormatting sqref="B54:D57">
    <cfRule type="cellIs" priority="2" operator="greater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0.2</formula>
      <formula>0.4</formula>
    </cfRule>
    <cfRule type="cellIs" priority="4" operator="lessThan" aboveAverage="0" equalAverage="0" bottom="0" percent="0" rank="0" text="" dxfId="2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14" t="s">
        <v>99</v>
      </c>
      <c r="B1" s="14"/>
      <c r="C1" s="14"/>
      <c r="D1" s="14"/>
    </row>
    <row r="3" customFormat="false" ht="15" hidden="false" customHeight="true" outlineLevel="0" collapsed="false">
      <c r="A3" s="3" t="s">
        <v>21</v>
      </c>
      <c r="B3" s="3"/>
      <c r="C3" s="3"/>
      <c r="D3" s="3"/>
    </row>
    <row r="4" customFormat="false" ht="15" hidden="false" customHeight="true" outlineLevel="0" collapsed="false">
      <c r="A4" s="6" t="s">
        <v>85</v>
      </c>
      <c r="B4" s="6" t="s">
        <v>54</v>
      </c>
      <c r="C4" s="6" t="s">
        <v>55</v>
      </c>
      <c r="D4" s="6" t="s">
        <v>56</v>
      </c>
    </row>
    <row r="5" customFormat="false" ht="15" hidden="false" customHeight="true" outlineLevel="0" collapsed="false">
      <c r="A5" s="4" t="s">
        <v>100</v>
      </c>
      <c r="B5" s="5" t="n">
        <f aca="false">'Đầu Vào'!C20</f>
        <v>20</v>
      </c>
      <c r="C5" s="5" t="n">
        <f aca="false">'Đầu Vào'!D20</f>
        <v>47.5</v>
      </c>
      <c r="D5" s="5" t="n">
        <f aca="false">'Đầu Vào'!E20</f>
        <v>95</v>
      </c>
    </row>
    <row r="6" customFormat="false" ht="15" hidden="false" customHeight="true" outlineLevel="0" collapsed="false">
      <c r="A6" s="4" t="s">
        <v>101</v>
      </c>
      <c r="B6" s="29" t="n">
        <f aca="false">IF('Đầu Vào'!$B$9="Mô hình 1",'Đầu Vào'!$I$10,'Đầu Vào'!$N$10)*'Đầu Vào'!$B$34</f>
        <v>17.25</v>
      </c>
      <c r="C6" s="29" t="n">
        <f aca="false">IF('Đầu Vào'!$B$9="Mô hình 1",'Đầu Vào'!$J$10,'Đầu Vào'!$O$10)*'Đầu Vào'!$B$34</f>
        <v>39.1</v>
      </c>
      <c r="D6" s="29" t="n">
        <f aca="false">IF('Đầu Vào'!$B$9="Mô hình 1",'Đầu Vào'!$K$10,'Đầu Vào'!$P$10)*'Đầu Vào'!$B$34</f>
        <v>77.625</v>
      </c>
    </row>
    <row r="7" customFormat="false" ht="15" hidden="false" customHeight="true" outlineLevel="0" collapsed="false">
      <c r="A7" s="4" t="s">
        <v>102</v>
      </c>
      <c r="B7" s="29" t="n">
        <f aca="false">IFERROR('Đầu Vào'!$B$41/'Đầu Vào'!$F$12,0)</f>
        <v>0.8125</v>
      </c>
      <c r="C7" s="29" t="n">
        <f aca="false">IFERROR('Đầu Vào'!$B$41/'Đầu Vào'!$F$12,0)</f>
        <v>0.8125</v>
      </c>
      <c r="D7" s="29" t="n">
        <f aca="false">IFERROR('Đầu Vào'!$B$41/'Đầu Vào'!$F$12,0)</f>
        <v>0.8125</v>
      </c>
    </row>
    <row r="8" customFormat="false" ht="15" hidden="false" customHeight="true" outlineLevel="0" collapsed="false">
      <c r="A8" s="7" t="s">
        <v>103</v>
      </c>
      <c r="B8" s="8" t="n">
        <f aca="false">B5-B6-B7</f>
        <v>1.9375</v>
      </c>
      <c r="C8" s="8" t="n">
        <f aca="false">C5-C6-C7</f>
        <v>7.58750000000001</v>
      </c>
      <c r="D8" s="8" t="n">
        <f aca="false">D5-D6-D7</f>
        <v>16.5625</v>
      </c>
    </row>
    <row r="9" customFormat="false" ht="15" hidden="false" customHeight="true" outlineLevel="0" collapsed="false">
      <c r="A9" s="7" t="s">
        <v>90</v>
      </c>
      <c r="B9" s="12" t="n">
        <f aca="false">IF(B5=0,0,B8/B5)</f>
        <v>0.096875</v>
      </c>
      <c r="C9" s="12" t="n">
        <f aca="false">IF(C5=0,0,C8/C5)</f>
        <v>0.159736842105263</v>
      </c>
      <c r="D9" s="12" t="n">
        <f aca="false">IF(D5=0,0,D8/D5)</f>
        <v>0.174342105263158</v>
      </c>
    </row>
    <row r="10" customFormat="false" ht="15" hidden="false" customHeight="true" outlineLevel="0" collapsed="false">
      <c r="A10" s="4" t="s">
        <v>104</v>
      </c>
      <c r="B10" s="11" t="n">
        <f aca="false">'Đầu Vào'!C9</f>
        <v>1</v>
      </c>
      <c r="C10" s="11" t="n">
        <f aca="false">'Đầu Vào'!D9</f>
        <v>0</v>
      </c>
      <c r="D10" s="11" t="n">
        <f aca="false">'Đầu Vào'!E9</f>
        <v>0</v>
      </c>
    </row>
    <row r="11" customFormat="false" ht="15" hidden="false" customHeight="true" outlineLevel="0" collapsed="false">
      <c r="A11" s="4" t="s">
        <v>105</v>
      </c>
      <c r="B11" s="8" t="n">
        <f aca="false">B5*B10</f>
        <v>20</v>
      </c>
      <c r="C11" s="8" t="n">
        <f aca="false">C5*C10</f>
        <v>0</v>
      </c>
      <c r="D11" s="8" t="n">
        <f aca="false">D5*D10</f>
        <v>0</v>
      </c>
    </row>
    <row r="12" customFormat="false" ht="15" hidden="false" customHeight="true" outlineLevel="0" collapsed="false">
      <c r="A12" s="4" t="s">
        <v>106</v>
      </c>
      <c r="B12" s="8" t="n">
        <f aca="false">B8*B10</f>
        <v>1.9375</v>
      </c>
      <c r="C12" s="8" t="n">
        <f aca="false">C8*C10</f>
        <v>0</v>
      </c>
      <c r="D12" s="8" t="n">
        <f aca="false">D8*D10</f>
        <v>0</v>
      </c>
    </row>
    <row r="14" customFormat="false" ht="15" hidden="false" customHeight="true" outlineLevel="0" collapsed="false">
      <c r="A14" s="3" t="s">
        <v>22</v>
      </c>
      <c r="B14" s="3"/>
      <c r="C14" s="3"/>
      <c r="D14" s="3"/>
    </row>
    <row r="15" customFormat="false" ht="15" hidden="false" customHeight="true" outlineLevel="0" collapsed="false">
      <c r="A15" s="6" t="s">
        <v>85</v>
      </c>
      <c r="B15" s="6" t="s">
        <v>54</v>
      </c>
      <c r="C15" s="6" t="s">
        <v>55</v>
      </c>
      <c r="D15" s="6" t="s">
        <v>56</v>
      </c>
    </row>
    <row r="16" customFormat="false" ht="15" hidden="false" customHeight="true" outlineLevel="0" collapsed="false">
      <c r="A16" s="4" t="s">
        <v>107</v>
      </c>
      <c r="B16" s="5" t="n">
        <f aca="false">'Đầu Vào'!C23</f>
        <v>12.5</v>
      </c>
      <c r="C16" s="5" t="n">
        <f aca="false">'Đầu Vào'!D23</f>
        <v>27.5</v>
      </c>
      <c r="D16" s="5" t="n">
        <f aca="false">'Đầu Vào'!E23</f>
        <v>65</v>
      </c>
    </row>
    <row r="17" customFormat="false" ht="15" hidden="false" customHeight="true" outlineLevel="0" collapsed="false">
      <c r="A17" s="4" t="s">
        <v>108</v>
      </c>
      <c r="B17" s="5" t="n">
        <f aca="false">'Đầu Vào'!C21</f>
        <v>6.5</v>
      </c>
      <c r="C17" s="5" t="n">
        <f aca="false">'Đầu Vào'!D21</f>
        <v>16</v>
      </c>
      <c r="D17" s="5" t="n">
        <f aca="false">'Đầu Vào'!E21</f>
        <v>35</v>
      </c>
    </row>
    <row r="18" customFormat="false" ht="15" hidden="false" customHeight="true" outlineLevel="0" collapsed="false">
      <c r="A18" s="4" t="s">
        <v>109</v>
      </c>
      <c r="B18" s="29" t="n">
        <f aca="false">IF('Đầu Vào'!$B$10="Mô hình 1",'Đầu Vào'!$I$11,'Đầu Vào'!$N$11)*'Đầu Vào'!$B$34</f>
        <v>27.025</v>
      </c>
      <c r="C18" s="29" t="n">
        <f aca="false">IF('Đầu Vào'!$B$10="Mô hình 1",'Đầu Vào'!$J$11,'Đầu Vào'!$O$11)*'Đầu Vào'!$B$34</f>
        <v>44.275</v>
      </c>
      <c r="D18" s="29" t="n">
        <f aca="false">IF('Đầu Vào'!$B$10="Mô hình 1",'Đầu Vào'!$K$11,'Đầu Vào'!$P$11)*'Đầu Vào'!$B$34</f>
        <v>71.3</v>
      </c>
    </row>
    <row r="19" customFormat="false" ht="15" hidden="false" customHeight="true" outlineLevel="0" collapsed="false">
      <c r="A19" s="4" t="s">
        <v>110</v>
      </c>
      <c r="B19" s="29" t="n">
        <f aca="false">IFERROR('Đầu Vào'!$B$41/'Đầu Vào'!$F$12,0)</f>
        <v>0.8125</v>
      </c>
      <c r="C19" s="29" t="n">
        <f aca="false">IFERROR('Đầu Vào'!$B$41/'Đầu Vào'!$F$12,0)</f>
        <v>0.8125</v>
      </c>
      <c r="D19" s="29" t="n">
        <f aca="false">IFERROR('Đầu Vào'!$B$41/'Đầu Vào'!$F$12,0)</f>
        <v>0.8125</v>
      </c>
    </row>
    <row r="20" customFormat="false" ht="15" hidden="false" customHeight="true" outlineLevel="0" collapsed="false">
      <c r="A20" s="7" t="s">
        <v>111</v>
      </c>
      <c r="B20" s="8" t="n">
        <f aca="false">B17-B18-B19</f>
        <v>-21.3375</v>
      </c>
      <c r="C20" s="8" t="n">
        <f aca="false">C17-C18-C19</f>
        <v>-29.0875</v>
      </c>
      <c r="D20" s="8" t="n">
        <f aca="false">D17-D18-D19</f>
        <v>-37.1125</v>
      </c>
    </row>
    <row r="21" customFormat="false" ht="15" hidden="false" customHeight="true" outlineLevel="0" collapsed="false">
      <c r="A21" s="7" t="s">
        <v>112</v>
      </c>
      <c r="B21" s="12" t="n">
        <f aca="false">IF(B17=0,0,B20/B17)</f>
        <v>-3.28269230769231</v>
      </c>
      <c r="C21" s="12" t="n">
        <f aca="false">IF(C17=0,0,C20/C17)</f>
        <v>-1.81796875</v>
      </c>
      <c r="D21" s="12" t="n">
        <f aca="false">IF(D17=0,0,D20/D17)</f>
        <v>-1.06035714285714</v>
      </c>
    </row>
    <row r="22" customFormat="false" ht="15" hidden="false" customHeight="true" outlineLevel="0" collapsed="false">
      <c r="A22" s="7" t="s">
        <v>113</v>
      </c>
      <c r="B22" s="23" t="n">
        <f aca="false">IFERROR(ROUNDUP(B16/IF(B20&lt;=0,0.001,B20),0),0)</f>
        <v>12500</v>
      </c>
      <c r="C22" s="23" t="n">
        <f aca="false">IFERROR(ROUNDUP(C16/IF(C20&lt;=0,0.001,C20),0),0)</f>
        <v>27500</v>
      </c>
      <c r="D22" s="23" t="n">
        <f aca="false">IFERROR(ROUNDUP(D16/IF(D20&lt;=0,0.001,D20),0),0)</f>
        <v>65000</v>
      </c>
    </row>
    <row r="23" customFormat="false" ht="15" hidden="false" customHeight="true" outlineLevel="0" collapsed="false">
      <c r="A23" s="4" t="s">
        <v>16</v>
      </c>
      <c r="B23" s="11" t="n">
        <f aca="false">'Đầu Vào'!C10</f>
        <v>0</v>
      </c>
      <c r="C23" s="11" t="n">
        <f aca="false">'Đầu Vào'!D10</f>
        <v>0</v>
      </c>
      <c r="D23" s="11" t="n">
        <f aca="false">'Đầu Vào'!E10</f>
        <v>0</v>
      </c>
    </row>
    <row r="24" customFormat="false" ht="15" hidden="false" customHeight="true" outlineLevel="0" collapsed="false">
      <c r="A24" s="4" t="s">
        <v>105</v>
      </c>
      <c r="B24" s="8" t="n">
        <f aca="false">B17*B23</f>
        <v>0</v>
      </c>
      <c r="C24" s="8" t="n">
        <f aca="false">C17*C23</f>
        <v>0</v>
      </c>
      <c r="D24" s="8" t="n">
        <f aca="false">D17*D23</f>
        <v>0</v>
      </c>
    </row>
    <row r="25" customFormat="false" ht="15" hidden="false" customHeight="true" outlineLevel="0" collapsed="false">
      <c r="A25" s="4" t="s">
        <v>106</v>
      </c>
      <c r="B25" s="8" t="n">
        <f aca="false">B20*B23</f>
        <v>-0</v>
      </c>
      <c r="C25" s="8" t="n">
        <f aca="false">C20*C23</f>
        <v>-0</v>
      </c>
      <c r="D25" s="8" t="n">
        <f aca="false">D20*D23</f>
        <v>-0</v>
      </c>
    </row>
    <row r="27" customFormat="false" ht="15" hidden="false" customHeight="true" outlineLevel="0" collapsed="false">
      <c r="A27" s="3" t="s">
        <v>23</v>
      </c>
      <c r="B27" s="3"/>
      <c r="C27" s="3"/>
      <c r="D27" s="3"/>
    </row>
    <row r="28" customFormat="false" ht="15" hidden="false" customHeight="true" outlineLevel="0" collapsed="false">
      <c r="A28" s="6" t="s">
        <v>85</v>
      </c>
      <c r="B28" s="6" t="s">
        <v>114</v>
      </c>
      <c r="C28" s="6" t="s">
        <v>115</v>
      </c>
      <c r="D28" s="6" t="s">
        <v>116</v>
      </c>
    </row>
    <row r="29" customFormat="false" ht="15" hidden="false" customHeight="true" outlineLevel="0" collapsed="false">
      <c r="A29" s="4" t="s">
        <v>117</v>
      </c>
      <c r="B29" s="5" t="n">
        <f aca="false">'Đầu Vào'!C22</f>
        <v>45</v>
      </c>
      <c r="C29" s="5" t="n">
        <f aca="false">'Đầu Vào'!D22</f>
        <v>80</v>
      </c>
      <c r="D29" s="5" t="n">
        <f aca="false">'Đầu Vào'!E22</f>
        <v>160</v>
      </c>
    </row>
    <row r="30" customFormat="false" ht="15" hidden="false" customHeight="true" outlineLevel="0" collapsed="false">
      <c r="A30" s="4" t="s">
        <v>109</v>
      </c>
      <c r="B30" s="29" t="n">
        <f aca="false">IF('Đầu Vào'!$B$11="Mô hình 1",'Đầu Vào'!$I$12,'Đầu Vào'!$N$12)*'Đầu Vào'!$B$34</f>
        <v>53.475</v>
      </c>
      <c r="C30" s="29" t="n">
        <f aca="false">IF('Đầu Vào'!$B$11="Mô hình 1",'Đầu Vào'!$J$12,'Đầu Vào'!$O$12)*'Đầu Vào'!$B$34</f>
        <v>87.4</v>
      </c>
      <c r="D30" s="29" t="n">
        <f aca="false">IF('Đầu Vào'!$B$11="Mô hình 1",'Đầu Vào'!$K$12,'Đầu Vào'!$P$12)*'Đầu Vào'!$B$34</f>
        <v>166.75</v>
      </c>
    </row>
    <row r="31" customFormat="false" ht="15" hidden="false" customHeight="true" outlineLevel="0" collapsed="false">
      <c r="A31" s="7" t="s">
        <v>118</v>
      </c>
      <c r="B31" s="8" t="n">
        <f aca="false">B29-B30</f>
        <v>-8.47499999999999</v>
      </c>
      <c r="C31" s="8" t="n">
        <f aca="false">C29-C30</f>
        <v>-7.39999999999999</v>
      </c>
      <c r="D31" s="8" t="n">
        <f aca="false">D29-D30</f>
        <v>-6.75</v>
      </c>
    </row>
    <row r="32" customFormat="false" ht="15" hidden="false" customHeight="true" outlineLevel="0" collapsed="false">
      <c r="A32" s="7" t="s">
        <v>90</v>
      </c>
      <c r="B32" s="12" t="n">
        <f aca="false">IF(B29=0,0,B31/B29)</f>
        <v>-0.188333333333333</v>
      </c>
      <c r="C32" s="12" t="n">
        <f aca="false">IF(C29=0,0,C31/C29)</f>
        <v>-0.0924999999999999</v>
      </c>
      <c r="D32" s="12" t="n">
        <f aca="false">IF(D29=0,0,D31/D29)</f>
        <v>-0.0421875</v>
      </c>
    </row>
    <row r="33" customFormat="false" ht="15" hidden="false" customHeight="true" outlineLevel="0" collapsed="false">
      <c r="A33" s="4" t="s">
        <v>119</v>
      </c>
      <c r="B33" s="30" t="n">
        <f aca="false">IFERROR(B30/('Đầu Vào'!$B$30*'Đầu Vào'!$B$34),0)</f>
        <v>1.86</v>
      </c>
      <c r="C33" s="30" t="n">
        <f aca="false">IFERROR(C30/('Đầu Vào'!$B$30*'Đầu Vào'!$B$34),0)</f>
        <v>3.04</v>
      </c>
      <c r="D33" s="30" t="n">
        <f aca="false">IFERROR(D30/('Đầu Vào'!$B$30*'Đầu Vào'!$B$34),0)</f>
        <v>5.8</v>
      </c>
    </row>
    <row r="34" customFormat="false" ht="15" hidden="false" customHeight="true" outlineLevel="0" collapsed="false">
      <c r="A34" s="7" t="s">
        <v>120</v>
      </c>
      <c r="B34" s="8" t="n">
        <f aca="false">IFERROR(B29/B33,0)</f>
        <v>24.1935483870968</v>
      </c>
      <c r="C34" s="8" t="n">
        <f aca="false">IFERROR(C29/C33,0)</f>
        <v>26.3157894736842</v>
      </c>
      <c r="D34" s="8" t="n">
        <f aca="false">IFERROR(D29/D33,0)</f>
        <v>27.5862068965517</v>
      </c>
    </row>
    <row r="35" customFormat="false" ht="15" hidden="false" customHeight="true" outlineLevel="0" collapsed="false">
      <c r="A35" s="4" t="s">
        <v>16</v>
      </c>
      <c r="B35" s="11" t="n">
        <f aca="false">'Đầu Vào'!C11</f>
        <v>0</v>
      </c>
      <c r="C35" s="11" t="n">
        <f aca="false">'Đầu Vào'!D11</f>
        <v>1</v>
      </c>
      <c r="D35" s="11" t="n">
        <f aca="false">'Đầu Vào'!E11</f>
        <v>0</v>
      </c>
    </row>
    <row r="36" customFormat="false" ht="15" hidden="false" customHeight="true" outlineLevel="0" collapsed="false">
      <c r="A36" s="4" t="s">
        <v>105</v>
      </c>
      <c r="B36" s="8" t="n">
        <f aca="false">B29*B35</f>
        <v>0</v>
      </c>
      <c r="C36" s="8" t="n">
        <f aca="false">C29*C35</f>
        <v>80</v>
      </c>
      <c r="D36" s="8" t="n">
        <f aca="false">D29*D35</f>
        <v>0</v>
      </c>
    </row>
    <row r="38" customFormat="false" ht="15" hidden="false" customHeight="true" outlineLevel="0" collapsed="false">
      <c r="A38" s="3" t="s">
        <v>94</v>
      </c>
      <c r="B38" s="3"/>
      <c r="C38" s="3"/>
      <c r="D38" s="3"/>
    </row>
    <row r="39" customFormat="false" ht="15" hidden="false" customHeight="true" outlineLevel="0" collapsed="false">
      <c r="A39" s="6" t="s">
        <v>41</v>
      </c>
      <c r="B39" s="6" t="s">
        <v>42</v>
      </c>
      <c r="C39" s="6" t="s">
        <v>43</v>
      </c>
      <c r="D39" s="6" t="s">
        <v>44</v>
      </c>
    </row>
    <row r="40" customFormat="false" ht="15" hidden="false" customHeight="true" outlineLevel="0" collapsed="false">
      <c r="A40" s="4" t="s">
        <v>121</v>
      </c>
      <c r="B40" s="12" t="n">
        <f aca="false">B9</f>
        <v>0.096875</v>
      </c>
      <c r="C40" s="12" t="n">
        <f aca="false">C9</f>
        <v>0.159736842105263</v>
      </c>
      <c r="D40" s="12" t="n">
        <f aca="false">D9</f>
        <v>0.174342105263158</v>
      </c>
    </row>
    <row r="41" customFormat="false" ht="15" hidden="false" customHeight="true" outlineLevel="0" collapsed="false">
      <c r="A41" s="4" t="s">
        <v>122</v>
      </c>
      <c r="B41" s="12" t="n">
        <f aca="false">B21</f>
        <v>-3.28269230769231</v>
      </c>
      <c r="C41" s="12" t="n">
        <f aca="false">C21</f>
        <v>-1.81796875</v>
      </c>
      <c r="D41" s="12" t="n">
        <f aca="false">D21</f>
        <v>-1.06035714285714</v>
      </c>
    </row>
    <row r="42" customFormat="false" ht="15" hidden="false" customHeight="true" outlineLevel="0" collapsed="false">
      <c r="A42" s="4" t="s">
        <v>123</v>
      </c>
      <c r="B42" s="12" t="n">
        <f aca="false">B32</f>
        <v>-0.188333333333333</v>
      </c>
      <c r="C42" s="12" t="n">
        <f aca="false">C32</f>
        <v>-0.0924999999999999</v>
      </c>
      <c r="D42" s="12" t="n">
        <f aca="false">D32</f>
        <v>-0.0421875</v>
      </c>
    </row>
  </sheetData>
  <mergeCells count="5">
    <mergeCell ref="A1:D1"/>
    <mergeCell ref="A3:D3"/>
    <mergeCell ref="A14:D14"/>
    <mergeCell ref="A27:D27"/>
    <mergeCell ref="A38:D38"/>
  </mergeCells>
  <conditionalFormatting sqref="B40:D42">
    <cfRule type="cellIs" priority="2" operator="greater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0.2</formula>
      <formula>0.4</formula>
    </cfRule>
    <cfRule type="cellIs" priority="4" operator="lessThan" aboveAverage="0" equalAverage="0" bottom="0" percent="0" rank="0" text="" dxfId="2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4"/>
  </cols>
  <sheetData>
    <row r="1" customFormat="false" ht="17.25" hidden="false" customHeight="true" outlineLevel="0" collapsed="false">
      <c r="A1" s="14" t="s">
        <v>124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customFormat="false" ht="15" hidden="false" customHeight="true" outlineLevel="0" collapsed="false">
      <c r="A3" s="3" t="s">
        <v>125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6" t="s">
        <v>70</v>
      </c>
      <c r="B4" s="6" t="s">
        <v>126</v>
      </c>
      <c r="C4" s="6" t="s">
        <v>127</v>
      </c>
      <c r="D4" s="6" t="s">
        <v>128</v>
      </c>
      <c r="E4" s="6" t="s">
        <v>129</v>
      </c>
      <c r="F4" s="6" t="s">
        <v>130</v>
      </c>
      <c r="G4" s="6" t="s">
        <v>131</v>
      </c>
      <c r="H4" s="6" t="s">
        <v>132</v>
      </c>
      <c r="I4" s="6" t="s">
        <v>133</v>
      </c>
      <c r="J4" s="6" t="s">
        <v>134</v>
      </c>
      <c r="K4" s="6" t="s">
        <v>135</v>
      </c>
      <c r="L4" s="6" t="s">
        <v>136</v>
      </c>
      <c r="M4" s="6" t="s">
        <v>137</v>
      </c>
      <c r="N4" s="6" t="s">
        <v>138</v>
      </c>
    </row>
    <row r="5" customFormat="false" ht="15" hidden="false" customHeight="true" outlineLevel="0" collapsed="false">
      <c r="A5" s="4" t="s">
        <v>17</v>
      </c>
      <c r="B5" s="29" t="n">
        <f aca="false">SUMPRODUCT('Đầu Vào'!C5:E5,'Đầu Vào'!C16:E16)</f>
        <v>109</v>
      </c>
      <c r="C5" s="29" t="n">
        <f aca="false">B5*(1+'Đầu Vào'!$B$49-'Đầu Vào'!$B$50)</f>
        <v>114.45</v>
      </c>
      <c r="D5" s="29" t="n">
        <f aca="false">C5*(1+'Đầu Vào'!$B$49-'Đầu Vào'!$B$50)</f>
        <v>120.1725</v>
      </c>
      <c r="E5" s="29" t="n">
        <f aca="false">D5*(1+'Đầu Vào'!$B$49-'Đầu Vào'!$B$50)</f>
        <v>126.181125</v>
      </c>
      <c r="F5" s="29" t="n">
        <f aca="false">E5*(1+'Đầu Vào'!$B$49-'Đầu Vào'!$B$50)</f>
        <v>132.49018125</v>
      </c>
      <c r="G5" s="29" t="n">
        <f aca="false">F5*(1+'Đầu Vào'!$B$49-'Đầu Vào'!$B$50)</f>
        <v>139.1146903125</v>
      </c>
      <c r="H5" s="29" t="n">
        <f aca="false">G5*(1+'Đầu Vào'!$B$49-'Đầu Vào'!$B$50)</f>
        <v>146.070424828125</v>
      </c>
      <c r="I5" s="29" t="n">
        <f aca="false">H5*(1+'Đầu Vào'!$B$49-'Đầu Vào'!$B$50)</f>
        <v>153.373946069531</v>
      </c>
      <c r="J5" s="29" t="n">
        <f aca="false">I5*(1+'Đầu Vào'!$B$49-'Đầu Vào'!$B$50)</f>
        <v>161.042643373008</v>
      </c>
      <c r="K5" s="29" t="n">
        <f aca="false">J5*(1+'Đầu Vào'!$B$49-'Đầu Vào'!$B$50)</f>
        <v>169.094775541658</v>
      </c>
      <c r="L5" s="29" t="n">
        <f aca="false">K5*(1+'Đầu Vào'!$B$49-'Đầu Vào'!$B$50)</f>
        <v>177.549514318741</v>
      </c>
      <c r="M5" s="29" t="n">
        <f aca="false">L5*(1+'Đầu Vào'!$B$49-'Đầu Vào'!$B$50)</f>
        <v>186.426990034678</v>
      </c>
      <c r="N5" s="8" t="n">
        <f aca="false">SUM(B5:M5)</f>
        <v>1734.96679072824</v>
      </c>
    </row>
    <row r="6" customFormat="false" ht="15" hidden="false" customHeight="true" outlineLevel="0" collapsed="false">
      <c r="A6" s="4" t="s">
        <v>18</v>
      </c>
      <c r="B6" s="29" t="n">
        <f aca="false">SUMPRODUCT('Đầu Vào'!C6:E6,'Đầu Vào'!C17:E17)</f>
        <v>43</v>
      </c>
      <c r="C6" s="29" t="n">
        <f aca="false">B6*(1+'Đầu Vào'!$B$49-'Đầu Vào'!$B$50)</f>
        <v>45.15</v>
      </c>
      <c r="D6" s="29" t="n">
        <f aca="false">C6*(1+'Đầu Vào'!$B$49-'Đầu Vào'!$B$50)</f>
        <v>47.4075</v>
      </c>
      <c r="E6" s="29" t="n">
        <f aca="false">D6*(1+'Đầu Vào'!$B$49-'Đầu Vào'!$B$50)</f>
        <v>49.777875</v>
      </c>
      <c r="F6" s="29" t="n">
        <f aca="false">E6*(1+'Đầu Vào'!$B$49-'Đầu Vào'!$B$50)</f>
        <v>52.26676875</v>
      </c>
      <c r="G6" s="29" t="n">
        <f aca="false">F6*(1+'Đầu Vào'!$B$49-'Đầu Vào'!$B$50)</f>
        <v>54.8801071875</v>
      </c>
      <c r="H6" s="29" t="n">
        <f aca="false">G6*(1+'Đầu Vào'!$B$49-'Đầu Vào'!$B$50)</f>
        <v>57.624112546875</v>
      </c>
      <c r="I6" s="29" t="n">
        <f aca="false">H6*(1+'Đầu Vào'!$B$49-'Đầu Vào'!$B$50)</f>
        <v>60.5053181742188</v>
      </c>
      <c r="J6" s="29" t="n">
        <f aca="false">I6*(1+'Đầu Vào'!$B$49-'Đầu Vào'!$B$50)</f>
        <v>63.5305840829297</v>
      </c>
      <c r="K6" s="29" t="n">
        <f aca="false">J6*(1+'Đầu Vào'!$B$49-'Đầu Vào'!$B$50)</f>
        <v>66.7071132870762</v>
      </c>
      <c r="L6" s="29" t="n">
        <f aca="false">K6*(1+'Đầu Vào'!$B$49-'Đầu Vào'!$B$50)</f>
        <v>70.04246895143</v>
      </c>
      <c r="M6" s="29" t="n">
        <f aca="false">L6*(1+'Đầu Vào'!$B$49-'Đầu Vào'!$B$50)</f>
        <v>73.5445923990015</v>
      </c>
      <c r="N6" s="8" t="n">
        <f aca="false">SUM(B6:M6)</f>
        <v>684.436440379031</v>
      </c>
    </row>
    <row r="7" customFormat="false" ht="15" hidden="false" customHeight="true" outlineLevel="0" collapsed="false">
      <c r="A7" s="4" t="s">
        <v>19</v>
      </c>
      <c r="B7" s="29" t="n">
        <f aca="false">SUMPRODUCT('Đầu Vào'!C7:E7,'Đầu Vào'!C18:E18)</f>
        <v>34.5</v>
      </c>
      <c r="C7" s="29" t="n">
        <f aca="false">B7*(1+'Đầu Vào'!$B$49-'Đầu Vào'!$B$50)</f>
        <v>36.225</v>
      </c>
      <c r="D7" s="29" t="n">
        <f aca="false">C7*(1+'Đầu Vào'!$B$49-'Đầu Vào'!$B$50)</f>
        <v>38.03625</v>
      </c>
      <c r="E7" s="29" t="n">
        <f aca="false">D7*(1+'Đầu Vào'!$B$49-'Đầu Vào'!$B$50)</f>
        <v>39.9380625</v>
      </c>
      <c r="F7" s="29" t="n">
        <f aca="false">E7*(1+'Đầu Vào'!$B$49-'Đầu Vào'!$B$50)</f>
        <v>41.934965625</v>
      </c>
      <c r="G7" s="29" t="n">
        <f aca="false">F7*(1+'Đầu Vào'!$B$49-'Đầu Vào'!$B$50)</f>
        <v>44.03171390625</v>
      </c>
      <c r="H7" s="29" t="n">
        <f aca="false">G7*(1+'Đầu Vào'!$B$49-'Đầu Vào'!$B$50)</f>
        <v>46.2332996015625</v>
      </c>
      <c r="I7" s="29" t="n">
        <f aca="false">H7*(1+'Đầu Vào'!$B$49-'Đầu Vào'!$B$50)</f>
        <v>48.5449645816406</v>
      </c>
      <c r="J7" s="29" t="n">
        <f aca="false">I7*(1+'Đầu Vào'!$B$49-'Đầu Vào'!$B$50)</f>
        <v>50.9722128107227</v>
      </c>
      <c r="K7" s="29" t="n">
        <f aca="false">J7*(1+'Đầu Vào'!$B$49-'Đầu Vào'!$B$50)</f>
        <v>53.5208234512588</v>
      </c>
      <c r="L7" s="29" t="n">
        <f aca="false">K7*(1+'Đầu Vào'!$B$49-'Đầu Vào'!$B$50)</f>
        <v>56.1968646238217</v>
      </c>
      <c r="M7" s="29" t="n">
        <f aca="false">L7*(1+'Đầu Vào'!$B$49-'Đầu Vào'!$B$50)</f>
        <v>59.0067078550128</v>
      </c>
      <c r="N7" s="8" t="n">
        <f aca="false">SUM(B7:M7)</f>
        <v>549.140864955269</v>
      </c>
    </row>
    <row r="8" customFormat="false" ht="15" hidden="false" customHeight="true" outlineLevel="0" collapsed="false">
      <c r="A8" s="4" t="s">
        <v>20</v>
      </c>
      <c r="B8" s="29" t="n">
        <f aca="false">SUMPRODUCT('Đầu Vào'!C8:E8,'Đầu Vào'!C19:E19)</f>
        <v>35</v>
      </c>
      <c r="C8" s="29" t="n">
        <f aca="false">B8*(1+'Đầu Vào'!$B$49-'Đầu Vào'!$B$50)</f>
        <v>36.75</v>
      </c>
      <c r="D8" s="29" t="n">
        <f aca="false">C8*(1+'Đầu Vào'!$B$49-'Đầu Vào'!$B$50)</f>
        <v>38.5875</v>
      </c>
      <c r="E8" s="29" t="n">
        <f aca="false">D8*(1+'Đầu Vào'!$B$49-'Đầu Vào'!$B$50)</f>
        <v>40.516875</v>
      </c>
      <c r="F8" s="29" t="n">
        <f aca="false">E8*(1+'Đầu Vào'!$B$49-'Đầu Vào'!$B$50)</f>
        <v>42.54271875</v>
      </c>
      <c r="G8" s="29" t="n">
        <f aca="false">F8*(1+'Đầu Vào'!$B$49-'Đầu Vào'!$B$50)</f>
        <v>44.6698546875</v>
      </c>
      <c r="H8" s="29" t="n">
        <f aca="false">G8*(1+'Đầu Vào'!$B$49-'Đầu Vào'!$B$50)</f>
        <v>46.903347421875</v>
      </c>
      <c r="I8" s="29" t="n">
        <f aca="false">H8*(1+'Đầu Vào'!$B$49-'Đầu Vào'!$B$50)</f>
        <v>49.2485147929688</v>
      </c>
      <c r="J8" s="29" t="n">
        <f aca="false">I8*(1+'Đầu Vào'!$B$49-'Đầu Vào'!$B$50)</f>
        <v>51.7109405326172</v>
      </c>
      <c r="K8" s="29" t="n">
        <f aca="false">J8*(1+'Đầu Vào'!$B$49-'Đầu Vào'!$B$50)</f>
        <v>54.2964875592481</v>
      </c>
      <c r="L8" s="29" t="n">
        <f aca="false">K8*(1+'Đầu Vào'!$B$49-'Đầu Vào'!$B$50)</f>
        <v>57.0113119372105</v>
      </c>
      <c r="M8" s="29" t="n">
        <f aca="false">L8*(1+'Đầu Vào'!$B$49-'Đầu Vào'!$B$50)</f>
        <v>59.861877534071</v>
      </c>
      <c r="N8" s="8" t="n">
        <f aca="false">SUM(B8:M8)</f>
        <v>557.09942821549</v>
      </c>
    </row>
    <row r="9" customFormat="false" ht="15" hidden="false" customHeight="true" outlineLevel="0" collapsed="false">
      <c r="A9" s="4" t="s">
        <v>21</v>
      </c>
      <c r="B9" s="29" t="n">
        <f aca="false">SUMPRODUCT('Đầu Vào'!C9:E9,'Đầu Vào'!C20:E20)</f>
        <v>20</v>
      </c>
      <c r="C9" s="29" t="n">
        <f aca="false">B9*(1+'Đầu Vào'!$B$49-'Đầu Vào'!$B$50)</f>
        <v>21</v>
      </c>
      <c r="D9" s="29" t="n">
        <f aca="false">C9*(1+'Đầu Vào'!$B$49-'Đầu Vào'!$B$50)</f>
        <v>22.05</v>
      </c>
      <c r="E9" s="29" t="n">
        <f aca="false">D9*(1+'Đầu Vào'!$B$49-'Đầu Vào'!$B$50)</f>
        <v>23.1525</v>
      </c>
      <c r="F9" s="29" t="n">
        <f aca="false">E9*(1+'Đầu Vào'!$B$49-'Đầu Vào'!$B$50)</f>
        <v>24.310125</v>
      </c>
      <c r="G9" s="29" t="n">
        <f aca="false">F9*(1+'Đầu Vào'!$B$49-'Đầu Vào'!$B$50)</f>
        <v>25.52563125</v>
      </c>
      <c r="H9" s="29" t="n">
        <f aca="false">G9*(1+'Đầu Vào'!$B$49-'Đầu Vào'!$B$50)</f>
        <v>26.8019128125</v>
      </c>
      <c r="I9" s="29" t="n">
        <f aca="false">H9*(1+'Đầu Vào'!$B$49-'Đầu Vào'!$B$50)</f>
        <v>28.142008453125</v>
      </c>
      <c r="J9" s="29" t="n">
        <f aca="false">I9*(1+'Đầu Vào'!$B$49-'Đầu Vào'!$B$50)</f>
        <v>29.5491088757813</v>
      </c>
      <c r="K9" s="29" t="n">
        <f aca="false">J9*(1+'Đầu Vào'!$B$49-'Đầu Vào'!$B$50)</f>
        <v>31.0265643195703</v>
      </c>
      <c r="L9" s="29" t="n">
        <f aca="false">K9*(1+'Đầu Vào'!$B$49-'Đầu Vào'!$B$50)</f>
        <v>32.5778925355488</v>
      </c>
      <c r="M9" s="29" t="n">
        <f aca="false">L9*(1+'Đầu Vào'!$B$49-'Đầu Vào'!$B$50)</f>
        <v>34.2067871623263</v>
      </c>
      <c r="N9" s="8" t="n">
        <f aca="false">SUM(B9:M9)</f>
        <v>318.342530408852</v>
      </c>
    </row>
    <row r="10" customFormat="false" ht="15" hidden="false" customHeight="true" outlineLevel="0" collapsed="false">
      <c r="A10" s="4" t="s">
        <v>22</v>
      </c>
      <c r="B10" s="29" t="n">
        <f aca="false">SUMPRODUCT('Đầu Vào'!C10:E10,'Đầu Vào'!C21:E21)</f>
        <v>0</v>
      </c>
      <c r="C10" s="29" t="n">
        <f aca="false">B10*(1+'Đầu Vào'!$B$49-'Đầu Vào'!$B$50)</f>
        <v>0</v>
      </c>
      <c r="D10" s="29" t="n">
        <f aca="false">C10*(1+'Đầu Vào'!$B$49-'Đầu Vào'!$B$50)</f>
        <v>0</v>
      </c>
      <c r="E10" s="29" t="n">
        <f aca="false">D10*(1+'Đầu Vào'!$B$49-'Đầu Vào'!$B$50)</f>
        <v>0</v>
      </c>
      <c r="F10" s="29" t="n">
        <f aca="false">E10*(1+'Đầu Vào'!$B$49-'Đầu Vào'!$B$50)</f>
        <v>0</v>
      </c>
      <c r="G10" s="29" t="n">
        <f aca="false">F10*(1+'Đầu Vào'!$B$49-'Đầu Vào'!$B$50)</f>
        <v>0</v>
      </c>
      <c r="H10" s="29" t="n">
        <f aca="false">G10*(1+'Đầu Vào'!$B$49-'Đầu Vào'!$B$50)</f>
        <v>0</v>
      </c>
      <c r="I10" s="29" t="n">
        <f aca="false">H10*(1+'Đầu Vào'!$B$49-'Đầu Vào'!$B$50)</f>
        <v>0</v>
      </c>
      <c r="J10" s="29" t="n">
        <f aca="false">I10*(1+'Đầu Vào'!$B$49-'Đầu Vào'!$B$50)</f>
        <v>0</v>
      </c>
      <c r="K10" s="29" t="n">
        <f aca="false">J10*(1+'Đầu Vào'!$B$49-'Đầu Vào'!$B$50)</f>
        <v>0</v>
      </c>
      <c r="L10" s="29" t="n">
        <f aca="false">K10*(1+'Đầu Vào'!$B$49-'Đầu Vào'!$B$50)</f>
        <v>0</v>
      </c>
      <c r="M10" s="29" t="n">
        <f aca="false">L10*(1+'Đầu Vào'!$B$49-'Đầu Vào'!$B$50)</f>
        <v>0</v>
      </c>
      <c r="N10" s="8" t="n">
        <f aca="false">SUM(B10:M10)</f>
        <v>0</v>
      </c>
    </row>
    <row r="11" customFormat="false" ht="15" hidden="false" customHeight="true" outlineLevel="0" collapsed="false">
      <c r="A11" s="4" t="s">
        <v>23</v>
      </c>
      <c r="B11" s="29" t="n">
        <f aca="false">SUMPRODUCT('Đầu Vào'!C11:E11,'Đầu Vào'!C22:E22)</f>
        <v>80</v>
      </c>
      <c r="C11" s="29" t="n">
        <f aca="false">B11*(1+'Đầu Vào'!$B$49-'Đầu Vào'!$B$50)</f>
        <v>84</v>
      </c>
      <c r="D11" s="29" t="n">
        <f aca="false">C11*(1+'Đầu Vào'!$B$49-'Đầu Vào'!$B$50)</f>
        <v>88.2</v>
      </c>
      <c r="E11" s="29" t="n">
        <f aca="false">D11*(1+'Đầu Vào'!$B$49-'Đầu Vào'!$B$50)</f>
        <v>92.61</v>
      </c>
      <c r="F11" s="29" t="n">
        <f aca="false">E11*(1+'Đầu Vào'!$B$49-'Đầu Vào'!$B$50)</f>
        <v>97.2405</v>
      </c>
      <c r="G11" s="29" t="n">
        <f aca="false">F11*(1+'Đầu Vào'!$B$49-'Đầu Vào'!$B$50)</f>
        <v>102.102525</v>
      </c>
      <c r="H11" s="29" t="n">
        <f aca="false">G11*(1+'Đầu Vào'!$B$49-'Đầu Vào'!$B$50)</f>
        <v>107.20765125</v>
      </c>
      <c r="I11" s="29" t="n">
        <f aca="false">H11*(1+'Đầu Vào'!$B$49-'Đầu Vào'!$B$50)</f>
        <v>112.5680338125</v>
      </c>
      <c r="J11" s="29" t="n">
        <f aca="false">I11*(1+'Đầu Vào'!$B$49-'Đầu Vào'!$B$50)</f>
        <v>118.196435503125</v>
      </c>
      <c r="K11" s="29" t="n">
        <f aca="false">J11*(1+'Đầu Vào'!$B$49-'Đầu Vào'!$B$50)</f>
        <v>124.106257278281</v>
      </c>
      <c r="L11" s="29" t="n">
        <f aca="false">K11*(1+'Đầu Vào'!$B$49-'Đầu Vào'!$B$50)</f>
        <v>130.311570142195</v>
      </c>
      <c r="M11" s="29" t="n">
        <f aca="false">L11*(1+'Đầu Vào'!$B$49-'Đầu Vào'!$B$50)</f>
        <v>136.827148649305</v>
      </c>
      <c r="N11" s="8" t="n">
        <f aca="false">SUM(B11:M11)</f>
        <v>1273.37012163541</v>
      </c>
    </row>
    <row r="12" customFormat="false" ht="15" hidden="false" customHeight="true" outlineLevel="0" collapsed="false">
      <c r="A12" s="7" t="s">
        <v>139</v>
      </c>
      <c r="B12" s="8" t="n">
        <f aca="false">SUM(B5:B11)</f>
        <v>321.5</v>
      </c>
      <c r="C12" s="8" t="n">
        <f aca="false">SUM(C5:C11)</f>
        <v>337.575</v>
      </c>
      <c r="D12" s="8" t="n">
        <f aca="false">SUM(D5:D11)</f>
        <v>354.45375</v>
      </c>
      <c r="E12" s="8" t="n">
        <f aca="false">SUM(E5:E11)</f>
        <v>372.1764375</v>
      </c>
      <c r="F12" s="8" t="n">
        <f aca="false">SUM(F5:F11)</f>
        <v>390.785259375</v>
      </c>
      <c r="G12" s="8" t="n">
        <f aca="false">SUM(G5:G11)</f>
        <v>410.32452234375</v>
      </c>
      <c r="H12" s="8" t="n">
        <f aca="false">SUM(H5:H11)</f>
        <v>430.840748460938</v>
      </c>
      <c r="I12" s="8" t="n">
        <f aca="false">SUM(I5:I11)</f>
        <v>452.382785883985</v>
      </c>
      <c r="J12" s="8" t="n">
        <f aca="false">SUM(J5:J11)</f>
        <v>475.001925178184</v>
      </c>
      <c r="K12" s="8" t="n">
        <f aca="false">SUM(K5:K11)</f>
        <v>498.752021437093</v>
      </c>
      <c r="L12" s="8" t="n">
        <f aca="false">SUM(L5:L11)</f>
        <v>523.689622508948</v>
      </c>
      <c r="M12" s="8" t="n">
        <f aca="false">SUM(M5:M11)</f>
        <v>549.874103634395</v>
      </c>
      <c r="N12" s="8" t="n">
        <f aca="false">SUM(N5:N11)</f>
        <v>5117.35617632229</v>
      </c>
    </row>
    <row r="14" customFormat="false" ht="15" hidden="false" customHeight="true" outlineLevel="0" collapsed="false">
      <c r="A14" s="3" t="s">
        <v>140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true" outlineLevel="0" collapsed="false">
      <c r="A15" s="4" t="s">
        <v>17</v>
      </c>
      <c r="B15" s="29" t="n">
        <f aca="false">(IF('Đầu Vào'!$B$5="Mô hình 1",'Đầu Vào'!I6,'Đầu Vào'!N6)*'Đầu Vào'!C5+IF('Đầu Vào'!$B$5="Mô hình 1",'Đầu Vào'!J6,'Đầu Vào'!O6)*'Đầu Vào'!D5+IF('Đầu Vào'!$B$5="Mô hình 1",'Đầu Vào'!K6,'Đầu Vào'!P6)*'Đầu Vào'!E5)*'Đầu Vào'!$B$34</f>
        <v>80.5</v>
      </c>
      <c r="C15" s="29" t="n">
        <f aca="false">B15*(1+'Đầu Vào'!$B$49-'Đầu Vào'!$B$50)</f>
        <v>84.525</v>
      </c>
      <c r="D15" s="29" t="n">
        <f aca="false">C15*(1+'Đầu Vào'!$B$49-'Đầu Vào'!$B$50)</f>
        <v>88.75125</v>
      </c>
      <c r="E15" s="29" t="n">
        <f aca="false">D15*(1+'Đầu Vào'!$B$49-'Đầu Vào'!$B$50)</f>
        <v>93.1888125</v>
      </c>
      <c r="F15" s="29" t="n">
        <f aca="false">E15*(1+'Đầu Vào'!$B$49-'Đầu Vào'!$B$50)</f>
        <v>97.848253125</v>
      </c>
      <c r="G15" s="29" t="n">
        <f aca="false">F15*(1+'Đầu Vào'!$B$49-'Đầu Vào'!$B$50)</f>
        <v>102.74066578125</v>
      </c>
      <c r="H15" s="29" t="n">
        <f aca="false">G15*(1+'Đầu Vào'!$B$49-'Đầu Vào'!$B$50)</f>
        <v>107.877699070313</v>
      </c>
      <c r="I15" s="29" t="n">
        <f aca="false">H15*(1+'Đầu Vào'!$B$49-'Đầu Vào'!$B$50)</f>
        <v>113.271584023828</v>
      </c>
      <c r="J15" s="29" t="n">
        <f aca="false">I15*(1+'Đầu Vào'!$B$49-'Đầu Vào'!$B$50)</f>
        <v>118.93516322502</v>
      </c>
      <c r="K15" s="29" t="n">
        <f aca="false">J15*(1+'Đầu Vào'!$B$49-'Đầu Vào'!$B$50)</f>
        <v>124.881921386271</v>
      </c>
      <c r="L15" s="29" t="n">
        <f aca="false">K15*(1+'Đầu Vào'!$B$49-'Đầu Vào'!$B$50)</f>
        <v>131.126017455584</v>
      </c>
      <c r="M15" s="29" t="n">
        <f aca="false">L15*(1+'Đầu Vào'!$B$49-'Đầu Vào'!$B$50)</f>
        <v>137.682318328363</v>
      </c>
      <c r="N15" s="8" t="n">
        <f aca="false">SUM(B15:M15)</f>
        <v>1281.32868489563</v>
      </c>
    </row>
    <row r="16" customFormat="false" ht="15" hidden="false" customHeight="true" outlineLevel="0" collapsed="false">
      <c r="A16" s="4" t="s">
        <v>18</v>
      </c>
      <c r="B16" s="29" t="n">
        <f aca="false">(IF('Đầu Vào'!$B$6="Mô hình 1",'Đầu Vào'!I7,'Đầu Vào'!N7)*'Đầu Vào'!C6+IF('Đầu Vào'!$B$6="Mô hình 1",'Đầu Vào'!J7,'Đầu Vào'!O7)*'Đầu Vào'!D6+IF('Đầu Vào'!$B$6="Mô hình 1",'Đầu Vào'!K7,'Đầu Vào'!P7)*'Đầu Vào'!E6)*'Đầu Vào'!$B$34</f>
        <v>32.2</v>
      </c>
      <c r="C16" s="29" t="n">
        <f aca="false">B16*(1+'Đầu Vào'!$B$49-'Đầu Vào'!$B$50)</f>
        <v>33.81</v>
      </c>
      <c r="D16" s="29" t="n">
        <f aca="false">C16*(1+'Đầu Vào'!$B$49-'Đầu Vào'!$B$50)</f>
        <v>35.5005</v>
      </c>
      <c r="E16" s="29" t="n">
        <f aca="false">D16*(1+'Đầu Vào'!$B$49-'Đầu Vào'!$B$50)</f>
        <v>37.275525</v>
      </c>
      <c r="F16" s="29" t="n">
        <f aca="false">E16*(1+'Đầu Vào'!$B$49-'Đầu Vào'!$B$50)</f>
        <v>39.13930125</v>
      </c>
      <c r="G16" s="29" t="n">
        <f aca="false">F16*(1+'Đầu Vào'!$B$49-'Đầu Vào'!$B$50)</f>
        <v>41.0962663125</v>
      </c>
      <c r="H16" s="29" t="n">
        <f aca="false">G16*(1+'Đầu Vào'!$B$49-'Đầu Vào'!$B$50)</f>
        <v>43.151079628125</v>
      </c>
      <c r="I16" s="29" t="n">
        <f aca="false">H16*(1+'Đầu Vào'!$B$49-'Đầu Vào'!$B$50)</f>
        <v>45.3086336095313</v>
      </c>
      <c r="J16" s="29" t="n">
        <f aca="false">I16*(1+'Đầu Vào'!$B$49-'Đầu Vào'!$B$50)</f>
        <v>47.5740652900078</v>
      </c>
      <c r="K16" s="29" t="n">
        <f aca="false">J16*(1+'Đầu Vào'!$B$49-'Đầu Vào'!$B$50)</f>
        <v>49.9527685545082</v>
      </c>
      <c r="L16" s="29" t="n">
        <f aca="false">K16*(1+'Đầu Vào'!$B$49-'Đầu Vào'!$B$50)</f>
        <v>52.4504069822336</v>
      </c>
      <c r="M16" s="29" t="n">
        <f aca="false">L16*(1+'Đầu Vào'!$B$49-'Đầu Vào'!$B$50)</f>
        <v>55.0729273313453</v>
      </c>
      <c r="N16" s="8" t="n">
        <f aca="false">SUM(B16:M16)</f>
        <v>512.531473958251</v>
      </c>
    </row>
    <row r="17" customFormat="false" ht="15" hidden="false" customHeight="true" outlineLevel="0" collapsed="false">
      <c r="A17" s="4" t="s">
        <v>19</v>
      </c>
      <c r="B17" s="29" t="n">
        <f aca="false">(IF('Đầu Vào'!$B$7="Mô hình 1",'Đầu Vào'!I8,'Đầu Vào'!N8)*'Đầu Vào'!C7+IF('Đầu Vào'!$B$7="Mô hình 1",'Đầu Vào'!J8,'Đầu Vào'!O8)*'Đầu Vào'!D7+IF('Đầu Vào'!$B$7="Mô hình 1",'Đầu Vào'!K8,'Đầu Vào'!P8)*'Đầu Vào'!E7)*'Đầu Vào'!$B$34</f>
        <v>41.975</v>
      </c>
      <c r="C17" s="29" t="n">
        <f aca="false">B17*(1+'Đầu Vào'!$B$49-'Đầu Vào'!$B$50)</f>
        <v>44.07375</v>
      </c>
      <c r="D17" s="29" t="n">
        <f aca="false">C17*(1+'Đầu Vào'!$B$49-'Đầu Vào'!$B$50)</f>
        <v>46.2774375</v>
      </c>
      <c r="E17" s="29" t="n">
        <f aca="false">D17*(1+'Đầu Vào'!$B$49-'Đầu Vào'!$B$50)</f>
        <v>48.591309375</v>
      </c>
      <c r="F17" s="29" t="n">
        <f aca="false">E17*(1+'Đầu Vào'!$B$49-'Đầu Vào'!$B$50)</f>
        <v>51.02087484375</v>
      </c>
      <c r="G17" s="29" t="n">
        <f aca="false">F17*(1+'Đầu Vào'!$B$49-'Đầu Vào'!$B$50)</f>
        <v>53.5719185859375</v>
      </c>
      <c r="H17" s="29" t="n">
        <f aca="false">G17*(1+'Đầu Vào'!$B$49-'Đầu Vào'!$B$50)</f>
        <v>56.2505145152344</v>
      </c>
      <c r="I17" s="29" t="n">
        <f aca="false">H17*(1+'Đầu Vào'!$B$49-'Đầu Vào'!$B$50)</f>
        <v>59.0630402409961</v>
      </c>
      <c r="J17" s="29" t="n">
        <f aca="false">I17*(1+'Đầu Vào'!$B$49-'Đầu Vào'!$B$50)</f>
        <v>62.0161922530459</v>
      </c>
      <c r="K17" s="29" t="n">
        <f aca="false">J17*(1+'Đầu Vào'!$B$49-'Đầu Vào'!$B$50)</f>
        <v>65.1170018656982</v>
      </c>
      <c r="L17" s="29" t="n">
        <f aca="false">K17*(1+'Đầu Vào'!$B$49-'Đầu Vào'!$B$50)</f>
        <v>68.3728519589831</v>
      </c>
      <c r="M17" s="29" t="n">
        <f aca="false">L17*(1+'Đầu Vào'!$B$49-'Đầu Vào'!$B$50)</f>
        <v>71.7914945569323</v>
      </c>
      <c r="N17" s="8" t="n">
        <f aca="false">SUM(B17:M17)</f>
        <v>668.121385695578</v>
      </c>
    </row>
    <row r="18" customFormat="false" ht="15" hidden="false" customHeight="true" outlineLevel="0" collapsed="false">
      <c r="A18" s="4" t="s">
        <v>20</v>
      </c>
      <c r="B18" s="29" t="n">
        <f aca="false">(IF('Đầu Vào'!$B$8="Mô hình 1",'Đầu Vào'!I9,'Đầu Vào'!N9)*'Đầu Vào'!C8+IF('Đầu Vào'!$B$8="Mô hình 1",'Đầu Vào'!J9,'Đầu Vào'!O9)*'Đầu Vào'!D8+IF('Đầu Vào'!$B$8="Mô hình 1",'Đầu Vào'!K9,'Đầu Vào'!P9)*'Đầu Vào'!E8)*'Đầu Vào'!$B$34</f>
        <v>42.55</v>
      </c>
      <c r="C18" s="29" t="n">
        <f aca="false">B18*(1+'Đầu Vào'!$B$49-'Đầu Vào'!$B$50)</f>
        <v>44.6775</v>
      </c>
      <c r="D18" s="29" t="n">
        <f aca="false">C18*(1+'Đầu Vào'!$B$49-'Đầu Vào'!$B$50)</f>
        <v>46.911375</v>
      </c>
      <c r="E18" s="29" t="n">
        <f aca="false">D18*(1+'Đầu Vào'!$B$49-'Đầu Vào'!$B$50)</f>
        <v>49.25694375</v>
      </c>
      <c r="F18" s="29" t="n">
        <f aca="false">E18*(1+'Đầu Vào'!$B$49-'Đầu Vào'!$B$50)</f>
        <v>51.7197909375</v>
      </c>
      <c r="G18" s="29" t="n">
        <f aca="false">F18*(1+'Đầu Vào'!$B$49-'Đầu Vào'!$B$50)</f>
        <v>54.305780484375</v>
      </c>
      <c r="H18" s="29" t="n">
        <f aca="false">G18*(1+'Đầu Vào'!$B$49-'Đầu Vào'!$B$50)</f>
        <v>57.0210695085938</v>
      </c>
      <c r="I18" s="29" t="n">
        <f aca="false">H18*(1+'Đầu Vào'!$B$49-'Đầu Vào'!$B$50)</f>
        <v>59.8721229840235</v>
      </c>
      <c r="J18" s="29" t="n">
        <f aca="false">I18*(1+'Đầu Vào'!$B$49-'Đầu Vào'!$B$50)</f>
        <v>62.8657291332247</v>
      </c>
      <c r="K18" s="29" t="n">
        <f aca="false">J18*(1+'Đầu Vào'!$B$49-'Đầu Vào'!$B$50)</f>
        <v>66.0090155898859</v>
      </c>
      <c r="L18" s="29" t="n">
        <f aca="false">K18*(1+'Đầu Vào'!$B$49-'Đầu Vào'!$B$50)</f>
        <v>69.3094663693802</v>
      </c>
      <c r="M18" s="29" t="n">
        <f aca="false">L18*(1+'Đầu Vào'!$B$49-'Đầu Vào'!$B$50)</f>
        <v>72.7749396878492</v>
      </c>
      <c r="N18" s="8" t="n">
        <f aca="false">SUM(B18:M18)</f>
        <v>677.273733444832</v>
      </c>
    </row>
    <row r="19" customFormat="false" ht="15" hidden="false" customHeight="true" outlineLevel="0" collapsed="false">
      <c r="A19" s="4" t="s">
        <v>21</v>
      </c>
      <c r="B19" s="29" t="n">
        <f aca="false">(IF('Đầu Vào'!$B$9="Mô hình 1",'Đầu Vào'!I10,'Đầu Vào'!N10)*'Đầu Vào'!C9+IF('Đầu Vào'!$B$9="Mô hình 1",'Đầu Vào'!J10,'Đầu Vào'!O10)*'Đầu Vào'!D9+IF('Đầu Vào'!$B$9="Mô hình 1",'Đầu Vào'!K10,'Đầu Vào'!P10)*'Đầu Vào'!E9)*'Đầu Vào'!$B$34</f>
        <v>17.25</v>
      </c>
      <c r="C19" s="29" t="n">
        <f aca="false">B19*(1+'Đầu Vào'!$B$49-'Đầu Vào'!$B$50)</f>
        <v>18.1125</v>
      </c>
      <c r="D19" s="29" t="n">
        <f aca="false">C19*(1+'Đầu Vào'!$B$49-'Đầu Vào'!$B$50)</f>
        <v>19.018125</v>
      </c>
      <c r="E19" s="29" t="n">
        <f aca="false">D19*(1+'Đầu Vào'!$B$49-'Đầu Vào'!$B$50)</f>
        <v>19.96903125</v>
      </c>
      <c r="F19" s="29" t="n">
        <f aca="false">E19*(1+'Đầu Vào'!$B$49-'Đầu Vào'!$B$50)</f>
        <v>20.9674828125</v>
      </c>
      <c r="G19" s="29" t="n">
        <f aca="false">F19*(1+'Đầu Vào'!$B$49-'Đầu Vào'!$B$50)</f>
        <v>22.015856953125</v>
      </c>
      <c r="H19" s="29" t="n">
        <f aca="false">G19*(1+'Đầu Vào'!$B$49-'Đầu Vào'!$B$50)</f>
        <v>23.1166498007813</v>
      </c>
      <c r="I19" s="29" t="n">
        <f aca="false">H19*(1+'Đầu Vào'!$B$49-'Đầu Vào'!$B$50)</f>
        <v>24.2724822908203</v>
      </c>
      <c r="J19" s="29" t="n">
        <f aca="false">I19*(1+'Đầu Vào'!$B$49-'Đầu Vào'!$B$50)</f>
        <v>25.4861064053613</v>
      </c>
      <c r="K19" s="29" t="n">
        <f aca="false">J19*(1+'Đầu Vào'!$B$49-'Đầu Vào'!$B$50)</f>
        <v>26.7604117256294</v>
      </c>
      <c r="L19" s="29" t="n">
        <f aca="false">K19*(1+'Đầu Vào'!$B$49-'Đầu Vào'!$B$50)</f>
        <v>28.0984323119109</v>
      </c>
      <c r="M19" s="29" t="n">
        <f aca="false">L19*(1+'Đầu Vào'!$B$49-'Đầu Vào'!$B$50)</f>
        <v>29.5033539275064</v>
      </c>
      <c r="N19" s="8" t="n">
        <f aca="false">SUM(B19:M19)</f>
        <v>274.570432477635</v>
      </c>
    </row>
    <row r="20" customFormat="false" ht="15" hidden="false" customHeight="true" outlineLevel="0" collapsed="false">
      <c r="A20" s="4" t="s">
        <v>22</v>
      </c>
      <c r="B20" s="29" t="n">
        <f aca="false">(IF('Đầu Vào'!$B$10="Mô hình 1",'Đầu Vào'!I11,'Đầu Vào'!N11)*'Đầu Vào'!C10+IF('Đầu Vào'!$B$10="Mô hình 1",'Đầu Vào'!J11,'Đầu Vào'!O11)*'Đầu Vào'!D10+IF('Đầu Vào'!$B$10="Mô hình 1",'Đầu Vào'!K11,'Đầu Vào'!P11)*'Đầu Vào'!E10)*'Đầu Vào'!$B$34</f>
        <v>0</v>
      </c>
      <c r="C20" s="29" t="n">
        <f aca="false">B20*(1+'Đầu Vào'!$B$49-'Đầu Vào'!$B$50)</f>
        <v>0</v>
      </c>
      <c r="D20" s="29" t="n">
        <f aca="false">C20*(1+'Đầu Vào'!$B$49-'Đầu Vào'!$B$50)</f>
        <v>0</v>
      </c>
      <c r="E20" s="29" t="n">
        <f aca="false">D20*(1+'Đầu Vào'!$B$49-'Đầu Vào'!$B$50)</f>
        <v>0</v>
      </c>
      <c r="F20" s="29" t="n">
        <f aca="false">E20*(1+'Đầu Vào'!$B$49-'Đầu Vào'!$B$50)</f>
        <v>0</v>
      </c>
      <c r="G20" s="29" t="n">
        <f aca="false">F20*(1+'Đầu Vào'!$B$49-'Đầu Vào'!$B$50)</f>
        <v>0</v>
      </c>
      <c r="H20" s="29" t="n">
        <f aca="false">G20*(1+'Đầu Vào'!$B$49-'Đầu Vào'!$B$50)</f>
        <v>0</v>
      </c>
      <c r="I20" s="29" t="n">
        <f aca="false">H20*(1+'Đầu Vào'!$B$49-'Đầu Vào'!$B$50)</f>
        <v>0</v>
      </c>
      <c r="J20" s="29" t="n">
        <f aca="false">I20*(1+'Đầu Vào'!$B$49-'Đầu Vào'!$B$50)</f>
        <v>0</v>
      </c>
      <c r="K20" s="29" t="n">
        <f aca="false">J20*(1+'Đầu Vào'!$B$49-'Đầu Vào'!$B$50)</f>
        <v>0</v>
      </c>
      <c r="L20" s="29" t="n">
        <f aca="false">K20*(1+'Đầu Vào'!$B$49-'Đầu Vào'!$B$50)</f>
        <v>0</v>
      </c>
      <c r="M20" s="29" t="n">
        <f aca="false">L20*(1+'Đầu Vào'!$B$49-'Đầu Vào'!$B$50)</f>
        <v>0</v>
      </c>
      <c r="N20" s="8" t="n">
        <f aca="false">SUM(B20:M20)</f>
        <v>0</v>
      </c>
    </row>
    <row r="21" customFormat="false" ht="15" hidden="false" customHeight="true" outlineLevel="0" collapsed="false">
      <c r="A21" s="4" t="s">
        <v>23</v>
      </c>
      <c r="B21" s="29" t="n">
        <f aca="false">(IF('Đầu Vào'!$B$11="Mô hình 1",'Đầu Vào'!I12,'Đầu Vào'!N12)*'Đầu Vào'!C11+IF('Đầu Vào'!$B$11="Mô hình 1",'Đầu Vào'!J12,'Đầu Vào'!O12)*'Đầu Vào'!D11+IF('Đầu Vào'!$B$11="Mô hình 1",'Đầu Vào'!K12,'Đầu Vào'!P12)*'Đầu Vào'!E11)*'Đầu Vào'!$B$34</f>
        <v>87.4</v>
      </c>
      <c r="C21" s="29" t="n">
        <f aca="false">B21*(1+'Đầu Vào'!$B$49-'Đầu Vào'!$B$50)</f>
        <v>91.77</v>
      </c>
      <c r="D21" s="29" t="n">
        <f aca="false">C21*(1+'Đầu Vào'!$B$49-'Đầu Vào'!$B$50)</f>
        <v>96.3585</v>
      </c>
      <c r="E21" s="29" t="n">
        <f aca="false">D21*(1+'Đầu Vào'!$B$49-'Đầu Vào'!$B$50)</f>
        <v>101.176425</v>
      </c>
      <c r="F21" s="29" t="n">
        <f aca="false">E21*(1+'Đầu Vào'!$B$49-'Đầu Vào'!$B$50)</f>
        <v>106.23524625</v>
      </c>
      <c r="G21" s="29" t="n">
        <f aca="false">F21*(1+'Đầu Vào'!$B$49-'Đầu Vào'!$B$50)</f>
        <v>111.5470085625</v>
      </c>
      <c r="H21" s="29" t="n">
        <f aca="false">G21*(1+'Đầu Vào'!$B$49-'Đầu Vào'!$B$50)</f>
        <v>117.124358990625</v>
      </c>
      <c r="I21" s="29" t="n">
        <f aca="false">H21*(1+'Đầu Vào'!$B$49-'Đầu Vào'!$B$50)</f>
        <v>122.980576940156</v>
      </c>
      <c r="J21" s="29" t="n">
        <f aca="false">I21*(1+'Đầu Vào'!$B$49-'Đầu Vào'!$B$50)</f>
        <v>129.129605787164</v>
      </c>
      <c r="K21" s="29" t="n">
        <f aca="false">J21*(1+'Đầu Vào'!$B$49-'Đầu Vào'!$B$50)</f>
        <v>135.586086076522</v>
      </c>
      <c r="L21" s="29" t="n">
        <f aca="false">K21*(1+'Đầu Vào'!$B$49-'Đầu Vào'!$B$50)</f>
        <v>142.365390380348</v>
      </c>
      <c r="M21" s="29" t="n">
        <f aca="false">L21*(1+'Đầu Vào'!$B$49-'Đầu Vào'!$B$50)</f>
        <v>149.483659899366</v>
      </c>
      <c r="N21" s="8" t="n">
        <f aca="false">SUM(B21:M21)</f>
        <v>1391.15685788668</v>
      </c>
    </row>
    <row r="22" customFormat="false" ht="15" hidden="false" customHeight="true" outlineLevel="0" collapsed="false">
      <c r="A22" s="7" t="s">
        <v>141</v>
      </c>
      <c r="B22" s="8" t="n">
        <f aca="false">SUM(B15:B21)</f>
        <v>301.875</v>
      </c>
      <c r="C22" s="8" t="n">
        <f aca="false">SUM(C15:C21)</f>
        <v>316.96875</v>
      </c>
      <c r="D22" s="8" t="n">
        <f aca="false">SUM(D15:D21)</f>
        <v>332.8171875</v>
      </c>
      <c r="E22" s="8" t="n">
        <f aca="false">SUM(E15:E21)</f>
        <v>349.458046875</v>
      </c>
      <c r="F22" s="8" t="n">
        <f aca="false">SUM(F15:F21)</f>
        <v>366.93094921875</v>
      </c>
      <c r="G22" s="8" t="n">
        <f aca="false">SUM(G15:G21)</f>
        <v>385.277496679688</v>
      </c>
      <c r="H22" s="8" t="n">
        <f aca="false">SUM(H15:H21)</f>
        <v>404.541371513672</v>
      </c>
      <c r="I22" s="8" t="n">
        <f aca="false">SUM(I15:I21)</f>
        <v>424.768440089356</v>
      </c>
      <c r="J22" s="8" t="n">
        <f aca="false">SUM(J15:J21)</f>
        <v>446.006862093823</v>
      </c>
      <c r="K22" s="8" t="n">
        <f aca="false">SUM(K15:K21)</f>
        <v>468.307205198515</v>
      </c>
      <c r="L22" s="8" t="n">
        <f aca="false">SUM(L15:L21)</f>
        <v>491.72256545844</v>
      </c>
      <c r="M22" s="8" t="n">
        <f aca="false">SUM(M15:M21)</f>
        <v>516.308693731362</v>
      </c>
      <c r="N22" s="8" t="n">
        <f aca="false">SUM(N15:N21)</f>
        <v>4804.98256835861</v>
      </c>
    </row>
    <row r="24" customFormat="false" ht="15" hidden="false" customHeight="true" outlineLevel="0" collapsed="false">
      <c r="A24" s="7" t="s">
        <v>142</v>
      </c>
      <c r="B24" s="8" t="n">
        <f aca="false">B12-B22</f>
        <v>19.625</v>
      </c>
      <c r="C24" s="8" t="n">
        <f aca="false">C12-C22</f>
        <v>20.60625</v>
      </c>
      <c r="D24" s="8" t="n">
        <f aca="false">D12-D22</f>
        <v>21.6365625</v>
      </c>
      <c r="E24" s="8" t="n">
        <f aca="false">E12-E22</f>
        <v>22.718390625</v>
      </c>
      <c r="F24" s="8" t="n">
        <f aca="false">F12-F22</f>
        <v>23.8543101562501</v>
      </c>
      <c r="G24" s="8" t="n">
        <f aca="false">G12-G22</f>
        <v>25.0470256640625</v>
      </c>
      <c r="H24" s="8" t="n">
        <f aca="false">H12-H22</f>
        <v>26.2993769472657</v>
      </c>
      <c r="I24" s="8" t="n">
        <f aca="false">I12-I22</f>
        <v>27.614345794629</v>
      </c>
      <c r="J24" s="8" t="n">
        <f aca="false">J12-J22</f>
        <v>28.9950630843604</v>
      </c>
      <c r="K24" s="8" t="n">
        <f aca="false">K12-K22</f>
        <v>30.4448162385784</v>
      </c>
      <c r="L24" s="8" t="n">
        <f aca="false">L12-L22</f>
        <v>31.9670570505074</v>
      </c>
      <c r="M24" s="8" t="n">
        <f aca="false">M12-M22</f>
        <v>33.5654099030327</v>
      </c>
      <c r="N24" s="8" t="n">
        <f aca="false">N12-N22</f>
        <v>312.373607963686</v>
      </c>
    </row>
    <row r="25" customFormat="false" ht="15" hidden="false" customHeight="true" outlineLevel="0" collapsed="false">
      <c r="A25" s="4" t="s">
        <v>90</v>
      </c>
      <c r="B25" s="12" t="n">
        <f aca="false">IF(B12=0,0,B24/B12)</f>
        <v>0.0610419906687403</v>
      </c>
      <c r="C25" s="12" t="n">
        <f aca="false">IF(C12=0,0,C24/C12)</f>
        <v>0.0610419906687403</v>
      </c>
      <c r="D25" s="12" t="n">
        <f aca="false">IF(D12=0,0,D24/D12)</f>
        <v>0.0610419906687402</v>
      </c>
      <c r="E25" s="12" t="n">
        <f aca="false">IF(E12=0,0,E24/E12)</f>
        <v>0.0610419906687402</v>
      </c>
      <c r="F25" s="12" t="n">
        <f aca="false">IF(F12=0,0,F24/F12)</f>
        <v>0.0610419906687404</v>
      </c>
      <c r="G25" s="12" t="n">
        <f aca="false">IF(G12=0,0,G24/G12)</f>
        <v>0.0610419906687403</v>
      </c>
      <c r="H25" s="12" t="n">
        <f aca="false">IF(H12=0,0,H24/H12)</f>
        <v>0.0610419906687404</v>
      </c>
      <c r="I25" s="12" t="n">
        <f aca="false">IF(I12=0,0,I24/I12)</f>
        <v>0.0610419906687405</v>
      </c>
      <c r="J25" s="12" t="n">
        <f aca="false">IF(J12=0,0,J24/J12)</f>
        <v>0.0610419906687403</v>
      </c>
      <c r="K25" s="12" t="n">
        <f aca="false">IF(K12=0,0,K24/K12)</f>
        <v>0.0610419906687403</v>
      </c>
      <c r="L25" s="12" t="n">
        <f aca="false">IF(L12=0,0,L24/L12)</f>
        <v>0.0610419906687404</v>
      </c>
      <c r="M25" s="12" t="n">
        <f aca="false">IF(M12=0,0,M24/M12)</f>
        <v>0.0610419906687403</v>
      </c>
      <c r="N25" s="12" t="n">
        <f aca="false">IF(N12=0,0,N24/N12)</f>
        <v>0.0610419906687402</v>
      </c>
    </row>
    <row r="27" customFormat="false" ht="15" hidden="false" customHeight="true" outlineLevel="0" collapsed="false">
      <c r="A27" s="3" t="s">
        <v>143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true" outlineLevel="0" collapsed="false">
      <c r="A28" s="4" t="s">
        <v>74</v>
      </c>
      <c r="B28" s="29" t="n">
        <f aca="false">'Đầu Vào'!$B$41</f>
        <v>13</v>
      </c>
      <c r="C28" s="29" t="n">
        <f aca="false">'Đầu Vào'!$B$41</f>
        <v>13</v>
      </c>
      <c r="D28" s="29" t="n">
        <f aca="false">'Đầu Vào'!$B$41</f>
        <v>13</v>
      </c>
      <c r="E28" s="29" t="n">
        <f aca="false">'Đầu Vào'!$B$41</f>
        <v>13</v>
      </c>
      <c r="F28" s="29" t="n">
        <f aca="false">'Đầu Vào'!$B$41</f>
        <v>13</v>
      </c>
      <c r="G28" s="29" t="n">
        <f aca="false">'Đầu Vào'!$B$41</f>
        <v>13</v>
      </c>
      <c r="H28" s="29" t="n">
        <f aca="false">'Đầu Vào'!$B$41</f>
        <v>13</v>
      </c>
      <c r="I28" s="29" t="n">
        <f aca="false">'Đầu Vào'!$B$41</f>
        <v>13</v>
      </c>
      <c r="J28" s="29" t="n">
        <f aca="false">'Đầu Vào'!$B$41</f>
        <v>13</v>
      </c>
      <c r="K28" s="29" t="n">
        <f aca="false">'Đầu Vào'!$B$41</f>
        <v>13</v>
      </c>
      <c r="L28" s="29" t="n">
        <f aca="false">'Đầu Vào'!$B$41</f>
        <v>13</v>
      </c>
      <c r="M28" s="29" t="n">
        <f aca="false">'Đầu Vào'!$B$41</f>
        <v>13</v>
      </c>
      <c r="N28" s="29" t="n">
        <f aca="false">SUM(B28:M28)</f>
        <v>156</v>
      </c>
    </row>
    <row r="29" customFormat="false" ht="15" hidden="false" customHeight="true" outlineLevel="0" collapsed="false">
      <c r="A29" s="4" t="s">
        <v>72</v>
      </c>
      <c r="B29" s="29" t="n">
        <f aca="false">'Đầu Vào'!$B$39</f>
        <v>15</v>
      </c>
      <c r="C29" s="29" t="n">
        <f aca="false">'Đầu Vào'!$B$39</f>
        <v>15</v>
      </c>
      <c r="D29" s="29" t="n">
        <f aca="false">'Đầu Vào'!$B$39</f>
        <v>15</v>
      </c>
      <c r="E29" s="29" t="n">
        <f aca="false">'Đầu Vào'!$B$39</f>
        <v>15</v>
      </c>
      <c r="F29" s="29" t="n">
        <f aca="false">'Đầu Vào'!$B$39</f>
        <v>15</v>
      </c>
      <c r="G29" s="29" t="n">
        <f aca="false">'Đầu Vào'!$B$39</f>
        <v>15</v>
      </c>
      <c r="H29" s="29" t="n">
        <f aca="false">'Đầu Vào'!$B$39</f>
        <v>15</v>
      </c>
      <c r="I29" s="29" t="n">
        <f aca="false">'Đầu Vào'!$B$39</f>
        <v>15</v>
      </c>
      <c r="J29" s="29" t="n">
        <f aca="false">'Đầu Vào'!$B$39</f>
        <v>15</v>
      </c>
      <c r="K29" s="29" t="n">
        <f aca="false">'Đầu Vào'!$B$39</f>
        <v>15</v>
      </c>
      <c r="L29" s="29" t="n">
        <f aca="false">'Đầu Vào'!$B$39</f>
        <v>15</v>
      </c>
      <c r="M29" s="29" t="n">
        <f aca="false">'Đầu Vào'!$B$39</f>
        <v>15</v>
      </c>
      <c r="N29" s="29" t="n">
        <f aca="false">SUM(B29:M29)</f>
        <v>180</v>
      </c>
    </row>
    <row r="30" customFormat="false" ht="15" hidden="false" customHeight="true" outlineLevel="0" collapsed="false">
      <c r="A30" s="4" t="s">
        <v>144</v>
      </c>
      <c r="B30" s="29" t="n">
        <f aca="false">'Đầu Vào'!$B$40</f>
        <v>30</v>
      </c>
      <c r="C30" s="29" t="n">
        <f aca="false">'Đầu Vào'!$B$40</f>
        <v>30</v>
      </c>
      <c r="D30" s="29" t="n">
        <f aca="false">'Đầu Vào'!$B$40</f>
        <v>30</v>
      </c>
      <c r="E30" s="29" t="n">
        <f aca="false">'Đầu Vào'!$B$40</f>
        <v>30</v>
      </c>
      <c r="F30" s="29" t="n">
        <f aca="false">'Đầu Vào'!$B$40</f>
        <v>30</v>
      </c>
      <c r="G30" s="29" t="n">
        <f aca="false">'Đầu Vào'!$B$40</f>
        <v>30</v>
      </c>
      <c r="H30" s="29" t="n">
        <f aca="false">'Đầu Vào'!$B$40</f>
        <v>30</v>
      </c>
      <c r="I30" s="29" t="n">
        <f aca="false">'Đầu Vào'!$B$40</f>
        <v>30</v>
      </c>
      <c r="J30" s="29" t="n">
        <f aca="false">'Đầu Vào'!$B$40</f>
        <v>30</v>
      </c>
      <c r="K30" s="29" t="n">
        <f aca="false">'Đầu Vào'!$B$40</f>
        <v>30</v>
      </c>
      <c r="L30" s="29" t="n">
        <f aca="false">'Đầu Vào'!$B$40</f>
        <v>30</v>
      </c>
      <c r="M30" s="29" t="n">
        <f aca="false">'Đầu Vào'!$B$40</f>
        <v>30</v>
      </c>
      <c r="N30" s="29" t="n">
        <f aca="false">SUM(B30:M30)</f>
        <v>360</v>
      </c>
    </row>
    <row r="31" customFormat="false" ht="15" hidden="false" customHeight="true" outlineLevel="0" collapsed="false">
      <c r="A31" s="4" t="s">
        <v>145</v>
      </c>
      <c r="B31" s="29" t="n">
        <f aca="false">'Đầu Vào'!$B$42</f>
        <v>5</v>
      </c>
      <c r="C31" s="29" t="n">
        <f aca="false">'Đầu Vào'!$B$42</f>
        <v>5</v>
      </c>
      <c r="D31" s="29" t="n">
        <f aca="false">'Đầu Vào'!$B$42</f>
        <v>5</v>
      </c>
      <c r="E31" s="29" t="n">
        <f aca="false">'Đầu Vào'!$B$42</f>
        <v>5</v>
      </c>
      <c r="F31" s="29" t="n">
        <f aca="false">'Đầu Vào'!$B$42</f>
        <v>5</v>
      </c>
      <c r="G31" s="29" t="n">
        <f aca="false">'Đầu Vào'!$B$42</f>
        <v>5</v>
      </c>
      <c r="H31" s="29" t="n">
        <f aca="false">'Đầu Vào'!$B$42</f>
        <v>5</v>
      </c>
      <c r="I31" s="29" t="n">
        <f aca="false">'Đầu Vào'!$B$42</f>
        <v>5</v>
      </c>
      <c r="J31" s="29" t="n">
        <f aca="false">'Đầu Vào'!$B$42</f>
        <v>5</v>
      </c>
      <c r="K31" s="29" t="n">
        <f aca="false">'Đầu Vào'!$B$42</f>
        <v>5</v>
      </c>
      <c r="L31" s="29" t="n">
        <f aca="false">'Đầu Vào'!$B$42</f>
        <v>5</v>
      </c>
      <c r="M31" s="29" t="n">
        <f aca="false">'Đầu Vào'!$B$42</f>
        <v>5</v>
      </c>
      <c r="N31" s="29" t="n">
        <f aca="false">SUM(B31:M31)</f>
        <v>60</v>
      </c>
    </row>
    <row r="32" customFormat="false" ht="15" hidden="false" customHeight="true" outlineLevel="0" collapsed="false">
      <c r="A32" s="4" t="s">
        <v>146</v>
      </c>
      <c r="B32" s="29" t="n">
        <f aca="false">'Đầu Vào'!$B$43</f>
        <v>3</v>
      </c>
      <c r="C32" s="29" t="n">
        <f aca="false">'Đầu Vào'!$B$43</f>
        <v>3</v>
      </c>
      <c r="D32" s="29" t="n">
        <f aca="false">'Đầu Vào'!$B$43</f>
        <v>3</v>
      </c>
      <c r="E32" s="29" t="n">
        <f aca="false">'Đầu Vào'!$B$43</f>
        <v>3</v>
      </c>
      <c r="F32" s="29" t="n">
        <f aca="false">'Đầu Vào'!$B$43</f>
        <v>3</v>
      </c>
      <c r="G32" s="29" t="n">
        <f aca="false">'Đầu Vào'!$B$43</f>
        <v>3</v>
      </c>
      <c r="H32" s="29" t="n">
        <f aca="false">'Đầu Vào'!$B$43</f>
        <v>3</v>
      </c>
      <c r="I32" s="29" t="n">
        <f aca="false">'Đầu Vào'!$B$43</f>
        <v>3</v>
      </c>
      <c r="J32" s="29" t="n">
        <f aca="false">'Đầu Vào'!$B$43</f>
        <v>3</v>
      </c>
      <c r="K32" s="29" t="n">
        <f aca="false">'Đầu Vào'!$B$43</f>
        <v>3</v>
      </c>
      <c r="L32" s="29" t="n">
        <f aca="false">'Đầu Vào'!$B$43</f>
        <v>3</v>
      </c>
      <c r="M32" s="29" t="n">
        <f aca="false">'Đầu Vào'!$B$43</f>
        <v>3</v>
      </c>
      <c r="N32" s="29" t="n">
        <f aca="false">SUM(B32:M32)</f>
        <v>36</v>
      </c>
    </row>
    <row r="33" customFormat="false" ht="15" hidden="false" customHeight="true" outlineLevel="0" collapsed="false">
      <c r="A33" s="4" t="s">
        <v>147</v>
      </c>
      <c r="B33" s="29" t="n">
        <f aca="false">'Đầu Vào'!$B$44</f>
        <v>5</v>
      </c>
      <c r="C33" s="29" t="n">
        <f aca="false">'Đầu Vào'!$B$44</f>
        <v>5</v>
      </c>
      <c r="D33" s="29" t="n">
        <f aca="false">'Đầu Vào'!$B$44</f>
        <v>5</v>
      </c>
      <c r="E33" s="29" t="n">
        <f aca="false">'Đầu Vào'!$B$44</f>
        <v>5</v>
      </c>
      <c r="F33" s="29" t="n">
        <f aca="false">'Đầu Vào'!$B$44</f>
        <v>5</v>
      </c>
      <c r="G33" s="29" t="n">
        <f aca="false">'Đầu Vào'!$B$44</f>
        <v>5</v>
      </c>
      <c r="H33" s="29" t="n">
        <f aca="false">'Đầu Vào'!$B$44</f>
        <v>5</v>
      </c>
      <c r="I33" s="29" t="n">
        <f aca="false">'Đầu Vào'!$B$44</f>
        <v>5</v>
      </c>
      <c r="J33" s="29" t="n">
        <f aca="false">'Đầu Vào'!$B$44</f>
        <v>5</v>
      </c>
      <c r="K33" s="29" t="n">
        <f aca="false">'Đầu Vào'!$B$44</f>
        <v>5</v>
      </c>
      <c r="L33" s="29" t="n">
        <f aca="false">'Đầu Vào'!$B$44</f>
        <v>5</v>
      </c>
      <c r="M33" s="29" t="n">
        <f aca="false">'Đầu Vào'!$B$44</f>
        <v>5</v>
      </c>
      <c r="N33" s="29" t="n">
        <f aca="false">SUM(B33:M33)</f>
        <v>60</v>
      </c>
    </row>
    <row r="34" customFormat="false" ht="15" hidden="false" customHeight="true" outlineLevel="0" collapsed="false">
      <c r="A34" s="7" t="s">
        <v>148</v>
      </c>
      <c r="B34" s="8" t="n">
        <f aca="false">SUM(B28:B33)</f>
        <v>71</v>
      </c>
      <c r="C34" s="8" t="n">
        <f aca="false">SUM(C28:C33)</f>
        <v>71</v>
      </c>
      <c r="D34" s="8" t="n">
        <f aca="false">SUM(D28:D33)</f>
        <v>71</v>
      </c>
      <c r="E34" s="8" t="n">
        <f aca="false">SUM(E28:E33)</f>
        <v>71</v>
      </c>
      <c r="F34" s="8" t="n">
        <f aca="false">SUM(F28:F33)</f>
        <v>71</v>
      </c>
      <c r="G34" s="8" t="n">
        <f aca="false">SUM(G28:G33)</f>
        <v>71</v>
      </c>
      <c r="H34" s="8" t="n">
        <f aca="false">SUM(H28:H33)</f>
        <v>71</v>
      </c>
      <c r="I34" s="8" t="n">
        <f aca="false">SUM(I28:I33)</f>
        <v>71</v>
      </c>
      <c r="J34" s="8" t="n">
        <f aca="false">SUM(J28:J33)</f>
        <v>71</v>
      </c>
      <c r="K34" s="8" t="n">
        <f aca="false">SUM(K28:K33)</f>
        <v>71</v>
      </c>
      <c r="L34" s="8" t="n">
        <f aca="false">SUM(L28:L33)</f>
        <v>71</v>
      </c>
      <c r="M34" s="8" t="n">
        <f aca="false">SUM(M28:M33)</f>
        <v>71</v>
      </c>
      <c r="N34" s="8" t="n">
        <f aca="false">SUM(N28:N33)</f>
        <v>852</v>
      </c>
    </row>
    <row r="36" customFormat="false" ht="15" hidden="false" customHeight="true" outlineLevel="0" collapsed="false">
      <c r="A36" s="7" t="s">
        <v>8</v>
      </c>
      <c r="B36" s="8" t="n">
        <f aca="false">B24-B34</f>
        <v>-51.375</v>
      </c>
      <c r="C36" s="8" t="n">
        <f aca="false">C24-C34</f>
        <v>-50.39375</v>
      </c>
      <c r="D36" s="8" t="n">
        <f aca="false">D24-D34</f>
        <v>-49.3634375</v>
      </c>
      <c r="E36" s="8" t="n">
        <f aca="false">E24-E34</f>
        <v>-48.281609375</v>
      </c>
      <c r="F36" s="8" t="n">
        <f aca="false">F24-F34</f>
        <v>-47.14568984375</v>
      </c>
      <c r="G36" s="8" t="n">
        <f aca="false">G24-G34</f>
        <v>-45.9529743359375</v>
      </c>
      <c r="H36" s="8" t="n">
        <f aca="false">H24-H34</f>
        <v>-44.7006230527343</v>
      </c>
      <c r="I36" s="8" t="n">
        <f aca="false">I24-I34</f>
        <v>-43.385654205371</v>
      </c>
      <c r="J36" s="8" t="n">
        <f aca="false">J24-J34</f>
        <v>-42.0049369156396</v>
      </c>
      <c r="K36" s="8" t="n">
        <f aca="false">K24-K34</f>
        <v>-40.5551837614216</v>
      </c>
      <c r="L36" s="8" t="n">
        <f aca="false">L24-L34</f>
        <v>-39.0329429494926</v>
      </c>
      <c r="M36" s="8" t="n">
        <f aca="false">M24-M34</f>
        <v>-37.4345900969673</v>
      </c>
      <c r="N36" s="8" t="n">
        <f aca="false">N24-N34</f>
        <v>-539.626392036314</v>
      </c>
    </row>
    <row r="37" customFormat="false" ht="15" hidden="false" customHeight="true" outlineLevel="0" collapsed="false">
      <c r="A37" s="4" t="s">
        <v>149</v>
      </c>
      <c r="B37" s="12" t="n">
        <f aca="false">IF(B12=0,0,B36/B12)</f>
        <v>-0.159797822706065</v>
      </c>
      <c r="C37" s="12" t="n">
        <f aca="false">IF(C12=0,0,C36/C12)</f>
        <v>-0.149281641116789</v>
      </c>
      <c r="D37" s="12" t="n">
        <f aca="false">IF(D12=0,0,D36/D12)</f>
        <v>-0.139266230079383</v>
      </c>
      <c r="E37" s="12" t="n">
        <f aca="false">IF(E12=0,0,E36/E12)</f>
        <v>-0.129727743377091</v>
      </c>
      <c r="F37" s="12" t="n">
        <f aca="false">IF(F12=0,0,F36/F12)</f>
        <v>-0.120643470327289</v>
      </c>
      <c r="G37" s="12" t="n">
        <f aca="false">IF(G12=0,0,G36/G12)</f>
        <v>-0.111991781708431</v>
      </c>
      <c r="H37" s="12" t="n">
        <f aca="false">IF(H12=0,0,H36/H12)</f>
        <v>-0.103752078261899</v>
      </c>
      <c r="I37" s="12" t="n">
        <f aca="false">IF(I12=0,0,I36/I12)</f>
        <v>-0.0959047416461541</v>
      </c>
      <c r="J37" s="12" t="n">
        <f aca="false">IF(J12=0,0,J36/J12)</f>
        <v>-0.0884310877263974</v>
      </c>
      <c r="K37" s="12" t="n">
        <f aca="false">IF(K12=0,0,K36/K12)</f>
        <v>-0.0813133220885338</v>
      </c>
      <c r="L37" s="12" t="n">
        <f aca="false">IF(L12=0,0,L36/L12)</f>
        <v>-0.0745344976715205</v>
      </c>
      <c r="M37" s="12" t="n">
        <f aca="false">IF(M12=0,0,M36/M12)</f>
        <v>-0.0680784744172225</v>
      </c>
      <c r="N37" s="12" t="n">
        <f aca="false">IF(N12=0,0,N36/N12)</f>
        <v>-0.10545023122157</v>
      </c>
    </row>
    <row r="39" customFormat="false" ht="15" hidden="false" customHeight="true" outlineLevel="0" collapsed="false">
      <c r="A39" s="7" t="s">
        <v>150</v>
      </c>
      <c r="B39" s="20" t="n">
        <f aca="false">'Đầu Vào'!$F$12</f>
        <v>16</v>
      </c>
      <c r="C39" s="20" t="n">
        <f aca="false">ROUND(B39*(1+'Đầu Vào'!$B$49-'Đầu Vào'!$B$50),0)</f>
        <v>17</v>
      </c>
      <c r="D39" s="20" t="n">
        <f aca="false">ROUND(C39*(1+'Đầu Vào'!$B$49-'Đầu Vào'!$B$50),0)</f>
        <v>18</v>
      </c>
      <c r="E39" s="20" t="n">
        <f aca="false">ROUND(D39*(1+'Đầu Vào'!$B$49-'Đầu Vào'!$B$50),0)</f>
        <v>19</v>
      </c>
      <c r="F39" s="20" t="n">
        <f aca="false">ROUND(E39*(1+'Đầu Vào'!$B$49-'Đầu Vào'!$B$50),0)</f>
        <v>20</v>
      </c>
      <c r="G39" s="20" t="n">
        <f aca="false">ROUND(F39*(1+'Đầu Vào'!$B$49-'Đầu Vào'!$B$50),0)</f>
        <v>21</v>
      </c>
      <c r="H39" s="20" t="n">
        <f aca="false">ROUND(G39*(1+'Đầu Vào'!$B$49-'Đầu Vào'!$B$50),0)</f>
        <v>22</v>
      </c>
      <c r="I39" s="20" t="n">
        <f aca="false">ROUND(H39*(1+'Đầu Vào'!$B$49-'Đầu Vào'!$B$50),0)</f>
        <v>23</v>
      </c>
      <c r="J39" s="20" t="n">
        <f aca="false">ROUND(I39*(1+'Đầu Vào'!$B$49-'Đầu Vào'!$B$50),0)</f>
        <v>24</v>
      </c>
      <c r="K39" s="20" t="n">
        <f aca="false">ROUND(J39*(1+'Đầu Vào'!$B$49-'Đầu Vào'!$B$50),0)</f>
        <v>25</v>
      </c>
      <c r="L39" s="20" t="n">
        <f aca="false">ROUND(K39*(1+'Đầu Vào'!$B$49-'Đầu Vào'!$B$50),0)</f>
        <v>26</v>
      </c>
      <c r="M39" s="20" t="n">
        <f aca="false">ROUND(L39*(1+'Đầu Vào'!$B$49-'Đầu Vào'!$B$50),0)</f>
        <v>27</v>
      </c>
      <c r="N39" s="20" t="n">
        <f aca="false">M39</f>
        <v>27</v>
      </c>
    </row>
    <row r="40" customFormat="false" ht="15" hidden="false" customHeight="true" outlineLevel="0" collapsed="false">
      <c r="A40" s="4" t="s">
        <v>151</v>
      </c>
      <c r="B40" s="29" t="n">
        <f aca="false">IFERROR(B12/'Đầu Vào'!$B$35,0)</f>
        <v>64.3</v>
      </c>
      <c r="C40" s="29" t="n">
        <f aca="false">IFERROR(C12/'Đầu Vào'!$B$35,0)</f>
        <v>67.515</v>
      </c>
      <c r="D40" s="29" t="n">
        <f aca="false">IFERROR(D12/'Đầu Vào'!$B$35,0)</f>
        <v>70.89075</v>
      </c>
      <c r="E40" s="29" t="n">
        <f aca="false">IFERROR(E12/'Đầu Vào'!$B$35,0)</f>
        <v>74.4352875</v>
      </c>
      <c r="F40" s="29" t="n">
        <f aca="false">IFERROR(F12/'Đầu Vào'!$B$35,0)</f>
        <v>78.157051875</v>
      </c>
      <c r="G40" s="29" t="n">
        <f aca="false">IFERROR(G12/'Đầu Vào'!$B$35,0)</f>
        <v>82.06490446875</v>
      </c>
      <c r="H40" s="29" t="n">
        <f aca="false">IFERROR(H12/'Đầu Vào'!$B$35,0)</f>
        <v>86.1681496921875</v>
      </c>
      <c r="I40" s="29" t="n">
        <f aca="false">IFERROR(I12/'Đầu Vào'!$B$35,0)</f>
        <v>90.4765571767969</v>
      </c>
      <c r="J40" s="29" t="n">
        <f aca="false">IFERROR(J12/'Đầu Vào'!$B$35,0)</f>
        <v>95.0003850356368</v>
      </c>
      <c r="K40" s="29" t="n">
        <f aca="false">IFERROR(K12/'Đầu Vào'!$B$35,0)</f>
        <v>99.7504042874186</v>
      </c>
      <c r="L40" s="29" t="n">
        <f aca="false">IFERROR(L12/'Đầu Vào'!$B$35,0)</f>
        <v>104.73792450179</v>
      </c>
      <c r="M40" s="29" t="n">
        <f aca="false">IFERROR(M12/'Đầu Vào'!$B$35,0)</f>
        <v>109.974820726879</v>
      </c>
      <c r="N40" s="29" t="n">
        <f aca="false">IFERROR(N12/'Đầu Vào'!$B$35,0)</f>
        <v>1023.47123526446</v>
      </c>
    </row>
  </sheetData>
  <mergeCells count="4">
    <mergeCell ref="A1:N1"/>
    <mergeCell ref="A3:N3"/>
    <mergeCell ref="A14:N14"/>
    <mergeCell ref="A27:N27"/>
  </mergeCells>
  <conditionalFormatting sqref="B36:N3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5"/>
  </cols>
  <sheetData>
    <row r="1" customFormat="false" ht="17.25" hidden="false" customHeight="true" outlineLevel="0" collapsed="false">
      <c r="A1" s="14" t="s">
        <v>152</v>
      </c>
      <c r="B1" s="14"/>
      <c r="C1" s="14"/>
      <c r="D1" s="14"/>
      <c r="E1" s="14"/>
      <c r="F1" s="14"/>
    </row>
    <row r="3" customFormat="false" ht="15" hidden="false" customHeight="true" outlineLevel="0" collapsed="false">
      <c r="A3" s="3" t="s">
        <v>153</v>
      </c>
      <c r="B3" s="3"/>
      <c r="C3" s="3"/>
    </row>
    <row r="4" customFormat="false" ht="15" hidden="false" customHeight="true" outlineLevel="0" collapsed="false">
      <c r="A4" s="4" t="s">
        <v>2</v>
      </c>
      <c r="B4" s="5" t="n">
        <f aca="false">'P&amp;L 12T'!B12</f>
        <v>321.5</v>
      </c>
    </row>
    <row r="5" customFormat="false" ht="15" hidden="false" customHeight="true" outlineLevel="0" collapsed="false">
      <c r="A5" s="4" t="s">
        <v>154</v>
      </c>
      <c r="B5" s="5" t="n">
        <f aca="false">'P&amp;L 12T'!B22</f>
        <v>301.875</v>
      </c>
    </row>
    <row r="6" customFormat="false" ht="15" hidden="false" customHeight="true" outlineLevel="0" collapsed="false">
      <c r="A6" s="4" t="s">
        <v>5</v>
      </c>
      <c r="B6" s="5" t="n">
        <f aca="false">'Đầu Vào'!$B$45</f>
        <v>71</v>
      </c>
    </row>
    <row r="7" customFormat="false" ht="15" hidden="false" customHeight="true" outlineLevel="0" collapsed="false">
      <c r="A7" s="4" t="s">
        <v>10</v>
      </c>
      <c r="B7" s="11" t="n">
        <f aca="false">'Đầu Vào'!$F$12</f>
        <v>16</v>
      </c>
    </row>
    <row r="8" customFormat="false" ht="15" hidden="false" customHeight="true" outlineLevel="0" collapsed="false">
      <c r="A8" s="4" t="s">
        <v>155</v>
      </c>
      <c r="B8" s="29" t="n">
        <f aca="false">IFERROR(B4/B7,0)</f>
        <v>20.09375</v>
      </c>
    </row>
    <row r="9" customFormat="false" ht="15" hidden="false" customHeight="true" outlineLevel="0" collapsed="false">
      <c r="A9" s="4" t="s">
        <v>156</v>
      </c>
      <c r="B9" s="29" t="n">
        <f aca="false">IFERROR(B5/B7,0)</f>
        <v>18.8671875</v>
      </c>
    </row>
    <row r="10" customFormat="false" ht="15" hidden="false" customHeight="true" outlineLevel="0" collapsed="false">
      <c r="A10" s="7" t="s">
        <v>157</v>
      </c>
      <c r="B10" s="8" t="n">
        <f aca="false">B8-B9</f>
        <v>1.2265625</v>
      </c>
    </row>
    <row r="11" customFormat="false" ht="15" hidden="false" customHeight="true" outlineLevel="0" collapsed="false">
      <c r="A11" s="7" t="s">
        <v>158</v>
      </c>
      <c r="B11" s="23" t="n">
        <f aca="false">IFERROR(ROUNDUP(B6/IF(B10&lt;=0,0.001,B10),0),0)</f>
        <v>58</v>
      </c>
    </row>
    <row r="12" customFormat="false" ht="15" hidden="false" customHeight="true" outlineLevel="0" collapsed="false">
      <c r="A12" s="7" t="s">
        <v>159</v>
      </c>
      <c r="B12" s="23" t="n">
        <f aca="false">IF(B11&gt;B7,B11-B7,0)</f>
        <v>42</v>
      </c>
    </row>
    <row r="14" customFormat="false" ht="15" hidden="false" customHeight="true" outlineLevel="0" collapsed="false">
      <c r="A14" s="3" t="s">
        <v>160</v>
      </c>
      <c r="B14" s="3"/>
      <c r="C14" s="3"/>
    </row>
    <row r="15" customFormat="false" ht="15" hidden="false" customHeight="true" outlineLevel="0" collapsed="false">
      <c r="A15" s="4" t="s">
        <v>161</v>
      </c>
      <c r="B15" s="5" t="n">
        <f aca="false">'P&amp;L 12T'!B36</f>
        <v>-51.375</v>
      </c>
    </row>
    <row r="16" customFormat="false" ht="15" hidden="false" customHeight="true" outlineLevel="0" collapsed="false">
      <c r="A16" s="4" t="s">
        <v>162</v>
      </c>
      <c r="B16" s="12" t="n">
        <f aca="false">'Đầu Vào'!$B$49-'Đầu Vào'!$B$50</f>
        <v>0.05</v>
      </c>
    </row>
    <row r="17" customFormat="false" ht="15" hidden="false" customHeight="true" outlineLevel="0" collapsed="false">
      <c r="A17" s="7" t="s">
        <v>163</v>
      </c>
      <c r="B17" s="23" t="n">
        <f aca="false">IF('P&amp;L 12T'!B36&gt;=0,1,IF('P&amp;L 12T'!B12-'P&amp;L 12T'!B22&lt;=0,0,IFERROR(ROUNDUP(1+LOG('Đầu Vào'!$B$45/('P&amp;L 12T'!B12-'P&amp;L 12T'!B22))/LOG(1+'Đầu Vào'!$B$49-'Đầu Vào'!$B$50),0),0)))</f>
        <v>28</v>
      </c>
    </row>
    <row r="19" customFormat="false" ht="15" hidden="false" customHeight="true" outlineLevel="0" collapsed="false">
      <c r="A19" s="3" t="s">
        <v>164</v>
      </c>
      <c r="B19" s="3"/>
      <c r="C19" s="3"/>
      <c r="D19" s="3"/>
      <c r="E19" s="3"/>
      <c r="F19" s="3"/>
      <c r="G19" s="3"/>
    </row>
    <row r="20" customFormat="false" ht="15" hidden="false" customHeight="true" outlineLevel="0" collapsed="false">
      <c r="A20" s="7" t="s">
        <v>165</v>
      </c>
      <c r="B20" s="31" t="n">
        <v>-0.2</v>
      </c>
      <c r="C20" s="31" t="n">
        <v>-0.1</v>
      </c>
      <c r="D20" s="31" t="n">
        <v>0</v>
      </c>
      <c r="E20" s="31" t="n">
        <v>0.1</v>
      </c>
      <c r="F20" s="31" t="n">
        <v>0.2</v>
      </c>
    </row>
    <row r="21" customFormat="false" ht="15" hidden="false" customHeight="true" outlineLevel="0" collapsed="false">
      <c r="A21" s="31" t="n">
        <v>-0.2</v>
      </c>
      <c r="B21" s="12" t="n">
        <f aca="false">IFERROR(('P&amp;L 12T'!$B$12*(1+$A21)-'P&amp;L 12T'!$B$22*(1+B$20)-'Đầu Vào'!$B$45)/IF('P&amp;L 12T'!$B$12*(1+$A21)=0,1,'P&amp;L 12T'!$B$12*(1+$A21)),0)</f>
        <v>-0.215007776049767</v>
      </c>
      <c r="C21" s="12" t="n">
        <f aca="false">IFERROR(('P&amp;L 12T'!$B$12*(1+$A21)-'P&amp;L 12T'!$B$22*(1+C$20)-'Đầu Vào'!$B$45)/IF('P&amp;L 12T'!$B$12*(1+$A21)=0,1,'P&amp;L 12T'!$B$12*(1+$A21)),0)</f>
        <v>-0.332377527216174</v>
      </c>
      <c r="D21" s="12" t="n">
        <f aca="false">IFERROR(('P&amp;L 12T'!$B$12*(1+$A21)-'P&amp;L 12T'!$B$22*(1+D$20)-'Đầu Vào'!$B$45)/IF('P&amp;L 12T'!$B$12*(1+$A21)=0,1,'P&amp;L 12T'!$B$12*(1+$A21)),0)</f>
        <v>-0.449747278382582</v>
      </c>
      <c r="E21" s="12" t="n">
        <f aca="false">IFERROR(('P&amp;L 12T'!$B$12*(1+$A21)-'P&amp;L 12T'!$B$22*(1+E$20)-'Đầu Vào'!$B$45)/IF('P&amp;L 12T'!$B$12*(1+$A21)=0,1,'P&amp;L 12T'!$B$12*(1+$A21)),0)</f>
        <v>-0.567117029548989</v>
      </c>
      <c r="F21" s="12" t="n">
        <f aca="false">IFERROR(('P&amp;L 12T'!$B$12*(1+$A21)-'P&amp;L 12T'!$B$22*(1+F$20)-'Đầu Vào'!$B$45)/IF('P&amp;L 12T'!$B$12*(1+$A21)=0,1,'P&amp;L 12T'!$B$12*(1+$A21)),0)</f>
        <v>-0.684486780715397</v>
      </c>
    </row>
    <row r="22" customFormat="false" ht="15" hidden="false" customHeight="true" outlineLevel="0" collapsed="false">
      <c r="A22" s="31" t="n">
        <v>-0.1</v>
      </c>
      <c r="B22" s="12" t="n">
        <f aca="false">IFERROR(('P&amp;L 12T'!$B$12*(1+$A22)-'P&amp;L 12T'!$B$22*(1+B$20)-'Đầu Vào'!$B$45)/IF('P&amp;L 12T'!$B$12*(1+$A22)=0,1,'P&amp;L 12T'!$B$12*(1+$A22)),0)</f>
        <v>-0.080006912044237</v>
      </c>
      <c r="C22" s="12" t="n">
        <f aca="false">IFERROR(('P&amp;L 12T'!$B$12*(1+$A22)-'P&amp;L 12T'!$B$22*(1+C$20)-'Đầu Vào'!$B$45)/IF('P&amp;L 12T'!$B$12*(1+$A22)=0,1,'P&amp;L 12T'!$B$12*(1+$A22)),0)</f>
        <v>-0.18433557974771</v>
      </c>
      <c r="D22" s="12" t="n">
        <f aca="false">IFERROR(('P&amp;L 12T'!$B$12*(1+$A22)-'P&amp;L 12T'!$B$22*(1+D$20)-'Đầu Vào'!$B$45)/IF('P&amp;L 12T'!$B$12*(1+$A22)=0,1,'P&amp;L 12T'!$B$12*(1+$A22)),0)</f>
        <v>-0.288664247451184</v>
      </c>
      <c r="E22" s="12" t="n">
        <f aca="false">IFERROR(('P&amp;L 12T'!$B$12*(1+$A22)-'P&amp;L 12T'!$B$22*(1+E$20)-'Đầu Vào'!$B$45)/IF('P&amp;L 12T'!$B$12*(1+$A22)=0,1,'P&amp;L 12T'!$B$12*(1+$A22)),0)</f>
        <v>-0.392992915154657</v>
      </c>
      <c r="F22" s="12" t="n">
        <f aca="false">IFERROR(('P&amp;L 12T'!$B$12*(1+$A22)-'P&amp;L 12T'!$B$22*(1+F$20)-'Đầu Vào'!$B$45)/IF('P&amp;L 12T'!$B$12*(1+$A22)=0,1,'P&amp;L 12T'!$B$12*(1+$A22)),0)</f>
        <v>-0.49732158285813</v>
      </c>
    </row>
    <row r="23" customFormat="false" ht="15" hidden="false" customHeight="true" outlineLevel="0" collapsed="false">
      <c r="A23" s="31" t="n">
        <v>0</v>
      </c>
      <c r="B23" s="12" t="n">
        <f aca="false">IFERROR(('P&amp;L 12T'!$B$12*(1+$A23)-'P&amp;L 12T'!$B$22*(1+B$20)-'Đầu Vào'!$B$45)/IF('P&amp;L 12T'!$B$12*(1+$A23)=0,1,'P&amp;L 12T'!$B$12*(1+$A23)),0)</f>
        <v>0.0279937791601866</v>
      </c>
      <c r="C23" s="12" t="n">
        <f aca="false">IFERROR(('P&amp;L 12T'!$B$12*(1+$A23)-'P&amp;L 12T'!$B$22*(1+C$20)-'Đầu Vào'!$B$45)/IF('P&amp;L 12T'!$B$12*(1+$A23)=0,1,'P&amp;L 12T'!$B$12*(1+$A23)),0)</f>
        <v>-0.0659020217729393</v>
      </c>
      <c r="D23" s="12" t="n">
        <f aca="false">IFERROR(('P&amp;L 12T'!$B$12*(1+$A23)-'P&amp;L 12T'!$B$22*(1+D$20)-'Đầu Vào'!$B$45)/IF('P&amp;L 12T'!$B$12*(1+$A23)=0,1,'P&amp;L 12T'!$B$12*(1+$A23)),0)</f>
        <v>-0.159797822706065</v>
      </c>
      <c r="E23" s="12" t="n">
        <f aca="false">IFERROR(('P&amp;L 12T'!$B$12*(1+$A23)-'P&amp;L 12T'!$B$22*(1+E$20)-'Đầu Vào'!$B$45)/IF('P&amp;L 12T'!$B$12*(1+$A23)=0,1,'P&amp;L 12T'!$B$12*(1+$A23)),0)</f>
        <v>-0.253693623639191</v>
      </c>
      <c r="F23" s="12" t="n">
        <f aca="false">IFERROR(('P&amp;L 12T'!$B$12*(1+$A23)-'P&amp;L 12T'!$B$22*(1+F$20)-'Đầu Vào'!$B$45)/IF('P&amp;L 12T'!$B$12*(1+$A23)=0,1,'P&amp;L 12T'!$B$12*(1+$A23)),0)</f>
        <v>-0.347589424572317</v>
      </c>
    </row>
    <row r="24" customFormat="false" ht="15" hidden="false" customHeight="true" outlineLevel="0" collapsed="false">
      <c r="A24" s="31" t="n">
        <v>0.1</v>
      </c>
      <c r="B24" s="12" t="n">
        <f aca="false">IFERROR(('P&amp;L 12T'!$B$12*(1+$A24)-'P&amp;L 12T'!$B$22*(1+B$20)-'Đầu Vào'!$B$45)/IF('P&amp;L 12T'!$B$12*(1+$A24)=0,1,'P&amp;L 12T'!$B$12*(1+$A24)),0)</f>
        <v>0.116357981054715</v>
      </c>
      <c r="C24" s="12" t="n">
        <f aca="false">IFERROR(('P&amp;L 12T'!$B$12*(1+$A24)-'P&amp;L 12T'!$B$22*(1+C$20)-'Đầu Vào'!$B$45)/IF('P&amp;L 12T'!$B$12*(1+$A24)=0,1,'P&amp;L 12T'!$B$12*(1+$A24)),0)</f>
        <v>0.0309981620246007</v>
      </c>
      <c r="D24" s="12" t="n">
        <f aca="false">IFERROR(('P&amp;L 12T'!$B$12*(1+$A24)-'P&amp;L 12T'!$B$22*(1+D$20)-'Đầu Vào'!$B$45)/IF('P&amp;L 12T'!$B$12*(1+$A24)=0,1,'P&amp;L 12T'!$B$12*(1+$A24)),0)</f>
        <v>-0.0543616570055138</v>
      </c>
      <c r="E24" s="12" t="n">
        <f aca="false">IFERROR(('P&amp;L 12T'!$B$12*(1+$A24)-'P&amp;L 12T'!$B$22*(1+E$20)-'Đầu Vào'!$B$45)/IF('P&amp;L 12T'!$B$12*(1+$A24)=0,1,'P&amp;L 12T'!$B$12*(1+$A24)),0)</f>
        <v>-0.139721476035628</v>
      </c>
      <c r="F24" s="12" t="n">
        <f aca="false">IFERROR(('P&amp;L 12T'!$B$12*(1+$A24)-'P&amp;L 12T'!$B$22*(1+F$20)-'Đầu Vào'!$B$45)/IF('P&amp;L 12T'!$B$12*(1+$A24)=0,1,'P&amp;L 12T'!$B$12*(1+$A24)),0)</f>
        <v>-0.225081295065743</v>
      </c>
    </row>
    <row r="25" customFormat="false" ht="15" hidden="false" customHeight="true" outlineLevel="0" collapsed="false">
      <c r="A25" s="31" t="n">
        <v>0.2</v>
      </c>
      <c r="B25" s="12" t="n">
        <f aca="false">IFERROR(('P&amp;L 12T'!$B$12*(1+$A25)-'P&amp;L 12T'!$B$22*(1+B$20)-'Đầu Vào'!$B$45)/IF('P&amp;L 12T'!$B$12*(1+$A25)=0,1,'P&amp;L 12T'!$B$12*(1+$A25)),0)</f>
        <v>0.189994815966822</v>
      </c>
      <c r="C25" s="12" t="n">
        <f aca="false">IFERROR(('P&amp;L 12T'!$B$12*(1+$A25)-'P&amp;L 12T'!$B$22*(1+C$20)-'Đầu Vào'!$B$45)/IF('P&amp;L 12T'!$B$12*(1+$A25)=0,1,'P&amp;L 12T'!$B$12*(1+$A25)),0)</f>
        <v>0.111748315189217</v>
      </c>
      <c r="D25" s="12" t="n">
        <f aca="false">IFERROR(('P&amp;L 12T'!$B$12*(1+$A25)-'P&amp;L 12T'!$B$22*(1+D$20)-'Đầu Vào'!$B$45)/IF('P&amp;L 12T'!$B$12*(1+$A25)=0,1,'P&amp;L 12T'!$B$12*(1+$A25)),0)</f>
        <v>0.0335018144116123</v>
      </c>
      <c r="E25" s="12" t="n">
        <f aca="false">IFERROR(('P&amp;L 12T'!$B$12*(1+$A25)-'P&amp;L 12T'!$B$22*(1+E$20)-'Đầu Vào'!$B$45)/IF('P&amp;L 12T'!$B$12*(1+$A25)=0,1,'P&amp;L 12T'!$B$12*(1+$A25)),0)</f>
        <v>-0.0447446863659927</v>
      </c>
      <c r="F25" s="12" t="n">
        <f aca="false">IFERROR(('P&amp;L 12T'!$B$12*(1+$A25)-'P&amp;L 12T'!$B$22*(1+F$20)-'Đầu Vào'!$B$45)/IF('P&amp;L 12T'!$B$12*(1+$A25)=0,1,'P&amp;L 12T'!$B$12*(1+$A25)),0)</f>
        <v>-0.122991187143598</v>
      </c>
    </row>
    <row r="27" customFormat="false" ht="15" hidden="false" customHeight="true" outlineLevel="0" collapsed="false">
      <c r="A27" s="3" t="s">
        <v>166</v>
      </c>
      <c r="B27" s="3"/>
      <c r="C27" s="3"/>
      <c r="D27" s="3"/>
      <c r="E27" s="3"/>
      <c r="F27" s="3"/>
      <c r="G27" s="3"/>
    </row>
    <row r="28" customFormat="false" ht="15" hidden="false" customHeight="true" outlineLevel="0" collapsed="false">
      <c r="A28" s="7" t="s">
        <v>167</v>
      </c>
      <c r="B28" s="31" t="n">
        <v>-0.2</v>
      </c>
      <c r="C28" s="31" t="n">
        <v>-0.1</v>
      </c>
      <c r="D28" s="31" t="n">
        <v>0</v>
      </c>
      <c r="E28" s="31" t="n">
        <v>0.1</v>
      </c>
      <c r="F28" s="31" t="n">
        <v>0.2</v>
      </c>
    </row>
    <row r="29" customFormat="false" ht="15" hidden="false" customHeight="true" outlineLevel="0" collapsed="false">
      <c r="A29" s="31" t="n">
        <v>-0.3</v>
      </c>
      <c r="B29" s="12" t="n">
        <f aca="false">IFERROR(('P&amp;L 12T'!$B$12*(1+B$28)*(1+$A29)-'P&amp;L 12T'!$B$22*(1+$A29)-'Đầu Vào'!$B$45)/IF('P&amp;L 12T'!$B$12*(1+B$28)*(1+$A29)=0,1,'P&amp;L 12T'!$B$12*(1+B$28)*(1+$A29)),0)</f>
        <v>-0.568054321261942</v>
      </c>
      <c r="C29" s="12" t="n">
        <f aca="false">IFERROR(('P&amp;L 12T'!$B$12*(1+C$28)*(1+$A29)-'P&amp;L 12T'!$B$22*(1+$A29)-'Đầu Vào'!$B$45)/IF('P&amp;L 12T'!$B$12*(1+C$28)*(1+$A29)=0,1,'P&amp;L 12T'!$B$12*(1+C$28)*(1+$A29)),0)</f>
        <v>-0.393826063343948</v>
      </c>
      <c r="D29" s="12" t="n">
        <f aca="false">IFERROR(('P&amp;L 12T'!$B$12*(1+D$28)*(1+$A29)-'P&amp;L 12T'!$B$22*(1+$A29)-'Đầu Vào'!$B$45)/IF('P&amp;L 12T'!$B$12*(1+D$28)*(1+$A29)=0,1,'P&amp;L 12T'!$B$12*(1+D$28)*(1+$A29)),0)</f>
        <v>-0.254443457009554</v>
      </c>
      <c r="E29" s="12" t="n">
        <f aca="false">IFERROR(('P&amp;L 12T'!$B$12*(1+E$28)*(1+$A29)-'P&amp;L 12T'!$B$22*(1+$A29)-'Đầu Vào'!$B$45)/IF('P&amp;L 12T'!$B$12*(1+E$28)*(1+$A29)=0,1,'P&amp;L 12T'!$B$12*(1+E$28)*(1+$A29)),0)</f>
        <v>-0.140403142735958</v>
      </c>
      <c r="F29" s="12" t="n">
        <f aca="false">IFERROR(('P&amp;L 12T'!$B$12*(1+F$28)*(1+$A29)-'P&amp;L 12T'!$B$22*(1+$A29)-'Đầu Vào'!$B$45)/IF('P&amp;L 12T'!$B$12*(1+F$28)*(1+$A29)=0,1,'P&amp;L 12T'!$B$12*(1+F$28)*(1+$A29)),0)</f>
        <v>-0.0453695475079612</v>
      </c>
    </row>
    <row r="30" customFormat="false" ht="15" hidden="false" customHeight="true" outlineLevel="0" collapsed="false">
      <c r="A30" s="31" t="n">
        <v>-0.15</v>
      </c>
      <c r="B30" s="12" t="n">
        <f aca="false">IFERROR(('P&amp;L 12T'!$B$12*(1+B$28)*(1+$A30)-'P&amp;L 12T'!$B$22*(1+$A30)-'Đầu Vào'!$B$45)/IF('P&amp;L 12T'!$B$12*(1+B$28)*(1+$A30)=0,1,'P&amp;L 12T'!$B$12*(1+B$28)*(1+$A30)),0)</f>
        <v>-0.498461943097612</v>
      </c>
      <c r="C30" s="12" t="n">
        <f aca="false">IFERROR(('P&amp;L 12T'!$B$12*(1+C$28)*(1+$A30)-'P&amp;L 12T'!$B$22*(1+$A30)-'Đầu Vào'!$B$45)/IF('P&amp;L 12T'!$B$12*(1+C$28)*(1+$A30)=0,1,'P&amp;L 12T'!$B$12*(1+C$28)*(1+$A30)),0)</f>
        <v>-0.331966171642322</v>
      </c>
      <c r="D30" s="12" t="n">
        <f aca="false">IFERROR(('P&amp;L 12T'!$B$12*(1+D$28)*(1+$A30)-'P&amp;L 12T'!$B$22*(1+$A30)-'Đầu Vào'!$B$45)/IF('P&amp;L 12T'!$B$12*(1+D$28)*(1+$A30)=0,1,'P&amp;L 12T'!$B$12*(1+D$28)*(1+$A30)),0)</f>
        <v>-0.19876955447809</v>
      </c>
      <c r="E30" s="12" t="n">
        <f aca="false">IFERROR(('P&amp;L 12T'!$B$12*(1+E$28)*(1+$A30)-'P&amp;L 12T'!$B$22*(1+$A30)-'Đầu Vào'!$B$45)/IF('P&amp;L 12T'!$B$12*(1+E$28)*(1+$A30)=0,1,'P&amp;L 12T'!$B$12*(1+E$28)*(1+$A30)),0)</f>
        <v>-0.0897905040709907</v>
      </c>
      <c r="F30" s="12" t="n">
        <f aca="false">IFERROR(('P&amp;L 12T'!$B$12*(1+F$28)*(1+$A30)-'P&amp;L 12T'!$B$22*(1+$A30)-'Đầu Vào'!$B$45)/IF('P&amp;L 12T'!$B$12*(1+F$28)*(1+$A30)=0,1,'P&amp;L 12T'!$B$12*(1+F$28)*(1+$A30)),0)</f>
        <v>0.00102537126825849</v>
      </c>
    </row>
    <row r="31" customFormat="false" ht="15" hidden="false" customHeight="true" outlineLevel="0" collapsed="false">
      <c r="A31" s="31" t="n">
        <v>0</v>
      </c>
      <c r="B31" s="12" t="n">
        <f aca="false">IFERROR(('P&amp;L 12T'!$B$12*(1+B$28)*(1+$A31)-'P&amp;L 12T'!$B$22*(1+$A31)-'Đầu Vào'!$B$45)/IF('P&amp;L 12T'!$B$12*(1+B$28)*(1+$A31)=0,1,'P&amp;L 12T'!$B$12*(1+B$28)*(1+$A31)),0)</f>
        <v>-0.449747278382582</v>
      </c>
      <c r="C31" s="12" t="n">
        <f aca="false">IFERROR(('P&amp;L 12T'!$B$12*(1+C$28)*(1+$A31)-'P&amp;L 12T'!$B$22*(1+$A31)-'Đầu Vào'!$B$45)/IF('P&amp;L 12T'!$B$12*(1+C$28)*(1+$A31)=0,1,'P&amp;L 12T'!$B$12*(1+C$28)*(1+$A31)),0)</f>
        <v>-0.288664247451184</v>
      </c>
      <c r="D31" s="12" t="n">
        <f aca="false">IFERROR(('P&amp;L 12T'!$B$12*(1+D$28)*(1+$A31)-'P&amp;L 12T'!$B$22*(1+$A31)-'Đầu Vào'!$B$45)/IF('P&amp;L 12T'!$B$12*(1+D$28)*(1+$A31)=0,1,'P&amp;L 12T'!$B$12*(1+D$28)*(1+$A31)),0)</f>
        <v>-0.159797822706065</v>
      </c>
      <c r="E31" s="12" t="n">
        <f aca="false">IFERROR(('P&amp;L 12T'!$B$12*(1+E$28)*(1+$A31)-'P&amp;L 12T'!$B$22*(1+$A31)-'Đầu Vào'!$B$45)/IF('P&amp;L 12T'!$B$12*(1+E$28)*(1+$A31)=0,1,'P&amp;L 12T'!$B$12*(1+E$28)*(1+$A31)),0)</f>
        <v>-0.0543616570055138</v>
      </c>
      <c r="F31" s="12" t="n">
        <f aca="false">IFERROR(('P&amp;L 12T'!$B$12*(1+F$28)*(1+$A31)-'P&amp;L 12T'!$B$22*(1+$A31)-'Đầu Vào'!$B$45)/IF('P&amp;L 12T'!$B$12*(1+F$28)*(1+$A31)=0,1,'P&amp;L 12T'!$B$12*(1+F$28)*(1+$A31)),0)</f>
        <v>0.0335018144116123</v>
      </c>
    </row>
    <row r="32" customFormat="false" ht="15" hidden="false" customHeight="true" outlineLevel="0" collapsed="false">
      <c r="A32" s="31" t="n">
        <v>0.15</v>
      </c>
      <c r="B32" s="12" t="n">
        <f aca="false">IFERROR(('P&amp;L 12T'!$B$12*(1+B$28)*(1+$A32)-'P&amp;L 12T'!$B$22*(1+$A32)-'Đầu Vào'!$B$45)/IF('P&amp;L 12T'!$B$12*(1+B$28)*(1+$A32)=0,1,'P&amp;L 12T'!$B$12*(1+B$28)*(1+$A32)),0)</f>
        <v>-0.413740787071472</v>
      </c>
      <c r="C32" s="12" t="n">
        <f aca="false">IFERROR(('P&amp;L 12T'!$B$12*(1+C$28)*(1+$A32)-'P&amp;L 12T'!$B$22*(1+$A32)-'Đầu Vào'!$B$45)/IF('P&amp;L 12T'!$B$12*(1+C$28)*(1+$A32)=0,1,'P&amp;L 12T'!$B$12*(1+C$28)*(1+$A32)),0)</f>
        <v>-0.256658477396864</v>
      </c>
      <c r="D32" s="12" t="n">
        <f aca="false">IFERROR(('P&amp;L 12T'!$B$12*(1+D$28)*(1+$A32)-'P&amp;L 12T'!$B$22*(1+$A32)-'Đầu Vào'!$B$45)/IF('P&amp;L 12T'!$B$12*(1+D$28)*(1+$A32)=0,1,'P&amp;L 12T'!$B$12*(1+D$28)*(1+$A32)),0)</f>
        <v>-0.130992629657178</v>
      </c>
      <c r="E32" s="12" t="n">
        <f aca="false">IFERROR(('P&amp;L 12T'!$B$12*(1+E$28)*(1+$A32)-'P&amp;L 12T'!$B$22*(1+$A32)-'Đầu Vào'!$B$45)/IF('P&amp;L 12T'!$B$12*(1+E$28)*(1+$A32)=0,1,'P&amp;L 12T'!$B$12*(1+E$28)*(1+$A32)),0)</f>
        <v>-0.0281751178701615</v>
      </c>
      <c r="F32" s="12" t="n">
        <f aca="false">IFERROR(('P&amp;L 12T'!$B$12*(1+F$28)*(1+$A32)-'P&amp;L 12T'!$B$22*(1+$A32)-'Đầu Vào'!$B$45)/IF('P&amp;L 12T'!$B$12*(1+F$28)*(1+$A32)=0,1,'P&amp;L 12T'!$B$12*(1+F$28)*(1+$A32)),0)</f>
        <v>0.0575061419523519</v>
      </c>
    </row>
    <row r="33" customFormat="false" ht="15" hidden="false" customHeight="true" outlineLevel="0" collapsed="false">
      <c r="A33" s="31" t="n">
        <v>0.3</v>
      </c>
      <c r="B33" s="12" t="n">
        <f aca="false">IFERROR(('P&amp;L 12T'!$B$12*(1+B$28)*(1+$A33)-'P&amp;L 12T'!$B$22*(1+$A33)-'Đầu Vào'!$B$45)/IF('P&amp;L 12T'!$B$12*(1+B$28)*(1+$A33)=0,1,'P&amp;L 12T'!$B$12*(1+B$28)*(1+$A33)),0)</f>
        <v>-0.386043486062926</v>
      </c>
      <c r="C33" s="12" t="n">
        <f aca="false">IFERROR(('P&amp;L 12T'!$B$12*(1+C$28)*(1+$A33)-'P&amp;L 12T'!$B$22*(1+$A33)-'Đầu Vào'!$B$45)/IF('P&amp;L 12T'!$B$12*(1+C$28)*(1+$A33)=0,1,'P&amp;L 12T'!$B$12*(1+C$28)*(1+$A33)),0)</f>
        <v>-0.232038654278157</v>
      </c>
      <c r="D33" s="12" t="n">
        <f aca="false">IFERROR(('P&amp;L 12T'!$B$12*(1+D$28)*(1+$A33)-'P&amp;L 12T'!$B$22*(1+$A33)-'Đầu Vào'!$B$45)/IF('P&amp;L 12T'!$B$12*(1+D$28)*(1+$A33)=0,1,'P&amp;L 12T'!$B$12*(1+D$28)*(1+$A33)),0)</f>
        <v>-0.108834788850341</v>
      </c>
      <c r="E33" s="12" t="n">
        <f aca="false">IFERROR(('P&amp;L 12T'!$B$12*(1+E$28)*(1+$A33)-'P&amp;L 12T'!$B$22*(1+$A33)-'Đầu Vào'!$B$45)/IF('P&amp;L 12T'!$B$12*(1+E$28)*(1+$A33)=0,1,'P&amp;L 12T'!$B$12*(1+E$28)*(1+$A33)),0)</f>
        <v>-0.00803162622758255</v>
      </c>
      <c r="F33" s="12" t="n">
        <f aca="false">IFERROR(('P&amp;L 12T'!$B$12*(1+F$28)*(1+$A33)-'P&amp;L 12T'!$B$22*(1+$A33)-'Đầu Vào'!$B$45)/IF('P&amp;L 12T'!$B$12*(1+F$28)*(1+$A33)=0,1,'P&amp;L 12T'!$B$12*(1+F$28)*(1+$A33)),0)</f>
        <v>0.0759710092913826</v>
      </c>
    </row>
  </sheetData>
  <mergeCells count="5">
    <mergeCell ref="A1:F1"/>
    <mergeCell ref="A3:C3"/>
    <mergeCell ref="A14:C14"/>
    <mergeCell ref="A19:G19"/>
    <mergeCell ref="A27:G27"/>
  </mergeCells>
  <conditionalFormatting sqref="B21:F25">
    <cfRule type="cellIs" priority="2" operator="greaterThan" aboveAverage="0" equalAverage="0" bottom="0" percent="0" rank="0" text="" dxfId="0">
      <formula>0.15</formula>
    </cfRule>
    <cfRule type="cellIs" priority="3" operator="between" aboveAverage="0" equalAverage="0" bottom="0" percent="0" rank="0" text="" dxfId="1">
      <formula>0</formula>
      <formula>0.15</formula>
    </cfRule>
    <cfRule type="cellIs" priority="4" operator="lessThan" aboveAverage="0" equalAverage="0" bottom="0" percent="0" rank="0" text="" dxfId="2">
      <formula>0</formula>
    </cfRule>
  </conditionalFormatting>
  <conditionalFormatting sqref="B29:F33">
    <cfRule type="cellIs" priority="5" operator="greaterThan" aboveAverage="0" equalAverage="0" bottom="0" percent="0" rank="0" text="" dxfId="0">
      <formula>0.15</formula>
    </cfRule>
    <cfRule type="cellIs" priority="6" operator="between" aboveAverage="0" equalAverage="0" bottom="0" percent="0" rank="0" text="" dxfId="1">
      <formula>0</formula>
      <formula>0.15</formula>
    </cfRule>
    <cfRule type="cellIs" priority="7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</cols>
  <sheetData>
    <row r="1" customFormat="false" ht="17.25" hidden="false" customHeight="true" outlineLevel="0" collapsed="false">
      <c r="A1" s="14" t="s">
        <v>168</v>
      </c>
      <c r="B1" s="14"/>
      <c r="C1" s="14"/>
      <c r="D1" s="14"/>
    </row>
    <row r="3" customFormat="false" ht="15" hidden="false" customHeight="true" outlineLevel="0" collapsed="false">
      <c r="A3" s="3" t="s">
        <v>169</v>
      </c>
      <c r="B3" s="3"/>
      <c r="C3" s="3"/>
      <c r="D3" s="3"/>
    </row>
    <row r="4" customFormat="false" ht="15" hidden="false" customHeight="true" outlineLevel="0" collapsed="false">
      <c r="A4" s="6" t="s">
        <v>80</v>
      </c>
      <c r="B4" s="6" t="s">
        <v>170</v>
      </c>
      <c r="C4" s="6" t="s">
        <v>171</v>
      </c>
      <c r="D4" s="6" t="s">
        <v>172</v>
      </c>
    </row>
    <row r="5" customFormat="false" ht="15" hidden="false" customHeight="true" outlineLevel="0" collapsed="false">
      <c r="A5" s="4" t="s">
        <v>173</v>
      </c>
      <c r="B5" s="28" t="n">
        <v>0.05</v>
      </c>
      <c r="C5" s="28" t="n">
        <v>0.1</v>
      </c>
      <c r="D5" s="28" t="n">
        <v>0.15</v>
      </c>
    </row>
    <row r="6" customFormat="false" ht="15" hidden="false" customHeight="true" outlineLevel="0" collapsed="false">
      <c r="A6" s="4" t="s">
        <v>174</v>
      </c>
      <c r="B6" s="28" t="n">
        <v>0.08</v>
      </c>
      <c r="C6" s="28" t="n">
        <v>0.05</v>
      </c>
      <c r="D6" s="28" t="n">
        <v>0.03</v>
      </c>
    </row>
    <row r="7" customFormat="false" ht="15" hidden="false" customHeight="true" outlineLevel="0" collapsed="false">
      <c r="A7" s="4" t="s">
        <v>175</v>
      </c>
      <c r="B7" s="27" t="n">
        <v>0.85</v>
      </c>
      <c r="C7" s="27" t="n">
        <v>1</v>
      </c>
      <c r="D7" s="27" t="n">
        <v>1.1</v>
      </c>
    </row>
    <row r="9" customFormat="false" ht="15" hidden="false" customHeight="true" outlineLevel="0" collapsed="false">
      <c r="A9" s="3" t="s">
        <v>176</v>
      </c>
      <c r="B9" s="3"/>
      <c r="C9" s="3"/>
      <c r="D9" s="3"/>
    </row>
    <row r="10" customFormat="false" ht="15" hidden="false" customHeight="true" outlineLevel="0" collapsed="false">
      <c r="A10" s="6" t="s">
        <v>85</v>
      </c>
      <c r="B10" s="6" t="s">
        <v>170</v>
      </c>
      <c r="C10" s="6" t="s">
        <v>171</v>
      </c>
      <c r="D10" s="6" t="s">
        <v>172</v>
      </c>
    </row>
    <row r="11" customFormat="false" ht="15" hidden="false" customHeight="true" outlineLevel="0" collapsed="false">
      <c r="A11" s="4" t="s">
        <v>177</v>
      </c>
      <c r="B11" s="29" t="n">
        <f aca="false">'P&amp;L 12T'!$B$12*B7</f>
        <v>273.275</v>
      </c>
      <c r="C11" s="29" t="n">
        <f aca="false">'P&amp;L 12T'!$B$12*C7</f>
        <v>321.5</v>
      </c>
      <c r="D11" s="29" t="n">
        <f aca="false">'P&amp;L 12T'!$B$12*D7</f>
        <v>353.65</v>
      </c>
    </row>
    <row r="12" customFormat="false" ht="15" hidden="false" customHeight="true" outlineLevel="0" collapsed="false">
      <c r="A12" s="4" t="s">
        <v>178</v>
      </c>
      <c r="B12" s="29" t="n">
        <f aca="false">'P&amp;L 12T'!$B$22</f>
        <v>301.875</v>
      </c>
      <c r="C12" s="29" t="n">
        <f aca="false">'P&amp;L 12T'!$B$22</f>
        <v>301.875</v>
      </c>
      <c r="D12" s="29" t="n">
        <f aca="false">'P&amp;L 12T'!$B$22</f>
        <v>301.875</v>
      </c>
    </row>
    <row r="13" customFormat="false" ht="15" hidden="false" customHeight="true" outlineLevel="0" collapsed="false">
      <c r="A13" s="4" t="s">
        <v>179</v>
      </c>
      <c r="B13" s="29" t="n">
        <f aca="false">'Đầu Vào'!$B$45</f>
        <v>71</v>
      </c>
      <c r="C13" s="29" t="n">
        <f aca="false">'Đầu Vào'!$B$45</f>
        <v>71</v>
      </c>
      <c r="D13" s="29" t="n">
        <f aca="false">'Đầu Vào'!$B$45</f>
        <v>71</v>
      </c>
    </row>
    <row r="14" customFormat="false" ht="15" hidden="false" customHeight="true" outlineLevel="0" collapsed="false">
      <c r="A14" s="7" t="s">
        <v>161</v>
      </c>
      <c r="B14" s="8" t="n">
        <f aca="false">B11-B12-B13</f>
        <v>-99.6</v>
      </c>
      <c r="C14" s="8" t="n">
        <f aca="false">C11-C12-C13</f>
        <v>-51.375</v>
      </c>
      <c r="D14" s="8" t="n">
        <f aca="false">D11-D12-D13</f>
        <v>-19.225</v>
      </c>
    </row>
    <row r="16" customFormat="false" ht="15" hidden="false" customHeight="true" outlineLevel="0" collapsed="false">
      <c r="A16" s="4" t="s">
        <v>180</v>
      </c>
      <c r="B16" s="29" t="n">
        <f aca="false">B11*(1+B5-B6)^5</f>
        <v>234.670540873168</v>
      </c>
      <c r="C16" s="29" t="n">
        <f aca="false">C11*(1+C5-C6)^5</f>
        <v>410.32452234375</v>
      </c>
      <c r="D16" s="29" t="n">
        <f aca="false">D11*(1+D5-D6)^5</f>
        <v>623.25213626368</v>
      </c>
    </row>
    <row r="17" customFormat="false" ht="15" hidden="false" customHeight="true" outlineLevel="0" collapsed="false">
      <c r="A17" s="4" t="s">
        <v>181</v>
      </c>
      <c r="B17" s="29" t="n">
        <f aca="false">B12*(1+B5-B6)^5</f>
        <v>259.230334008188</v>
      </c>
      <c r="C17" s="29" t="n">
        <f aca="false">C12*(1+C5-C6)^5</f>
        <v>385.277496679688</v>
      </c>
      <c r="D17" s="29" t="n">
        <f aca="false">D12*(1+D5-D6)^5</f>
        <v>532.006895616</v>
      </c>
    </row>
    <row r="18" customFormat="false" ht="15" hidden="false" customHeight="true" outlineLevel="0" collapsed="false">
      <c r="A18" s="7" t="s">
        <v>182</v>
      </c>
      <c r="B18" s="8" t="n">
        <f aca="false">B16-B17-B13</f>
        <v>-95.55979313502</v>
      </c>
      <c r="C18" s="8" t="n">
        <f aca="false">C16-C17-C13</f>
        <v>-45.9529743359375</v>
      </c>
      <c r="D18" s="8" t="n">
        <f aca="false">D16-D17-D13</f>
        <v>20.24524064768</v>
      </c>
    </row>
    <row r="20" customFormat="false" ht="15" hidden="false" customHeight="true" outlineLevel="0" collapsed="false">
      <c r="A20" s="4" t="s">
        <v>183</v>
      </c>
      <c r="B20" s="29" t="n">
        <f aca="false">B11*(1+B5-B6)^11</f>
        <v>195.473990928895</v>
      </c>
      <c r="C20" s="29" t="n">
        <f aca="false">C11*(1+C5-C6)^11</f>
        <v>549.874103634395</v>
      </c>
      <c r="D20" s="29" t="n">
        <f aca="false">D11*(1+D5-D6)^11</f>
        <v>1230.18920514664</v>
      </c>
    </row>
    <row r="21" customFormat="false" ht="15" hidden="false" customHeight="true" outlineLevel="0" collapsed="false">
      <c r="A21" s="4" t="s">
        <v>184</v>
      </c>
      <c r="B21" s="29" t="n">
        <f aca="false">B12*(1+B5-B6)^11</f>
        <v>215.931611057214</v>
      </c>
      <c r="C21" s="29" t="n">
        <f aca="false">C12*(1+C5-C6)^11</f>
        <v>516.308693731362</v>
      </c>
      <c r="D21" s="29" t="n">
        <f aca="false">D12*(1+D5-D6)^11</f>
        <v>1050.08727924118</v>
      </c>
    </row>
    <row r="22" customFormat="false" ht="15" hidden="false" customHeight="true" outlineLevel="0" collapsed="false">
      <c r="A22" s="7" t="s">
        <v>185</v>
      </c>
      <c r="B22" s="8" t="n">
        <f aca="false">B20-B21-B13</f>
        <v>-91.4576201283191</v>
      </c>
      <c r="C22" s="8" t="n">
        <f aca="false">C20-C21-C13</f>
        <v>-37.4345900969673</v>
      </c>
      <c r="D22" s="8" t="n">
        <f aca="false">D20-D21-D13</f>
        <v>109.101925905464</v>
      </c>
    </row>
    <row r="24" customFormat="false" ht="15" hidden="false" customHeight="true" outlineLevel="0" collapsed="false">
      <c r="A24" s="7" t="s">
        <v>186</v>
      </c>
      <c r="B24" s="23" t="n">
        <f aca="false">IF(B14&gt;=0,1,IF(B11-B12&lt;=0,0,IFERROR(ROUNDUP(1+LOG(B13/(B11-B12))/LOG(1+B5-B6),0),0)))</f>
        <v>0</v>
      </c>
      <c r="C24" s="23" t="n">
        <f aca="false">IF(C14&gt;=0,1,IF(C11-C12&lt;=0,0,IFERROR(ROUNDUP(1+LOG(C13/(C11-C12))/LOG(1+C5-C6),0),0)))</f>
        <v>28</v>
      </c>
      <c r="D24" s="23" t="n">
        <f aca="false">IF(D14&gt;=0,1,IF(D11-D12&lt;=0,0,IFERROR(ROUNDUP(1+LOG(D13/(D11-D12))/LOG(1+D5-D6),0),0)))</f>
        <v>4</v>
      </c>
    </row>
    <row r="25" customFormat="false" ht="15" hidden="false" customHeight="true" outlineLevel="0" collapsed="false">
      <c r="A25" s="4" t="s">
        <v>187</v>
      </c>
      <c r="B25" s="20" t="n">
        <f aca="false">ROUND('Đầu Vào'!$B$35*(1+B5-B6)^11,0)</f>
        <v>4</v>
      </c>
      <c r="C25" s="20" t="n">
        <f aca="false">ROUND('Đầu Vào'!$B$35*(1+C5-C6)^11,0)</f>
        <v>9</v>
      </c>
      <c r="D25" s="20" t="n">
        <f aca="false">ROUND('Đầu Vào'!$B$35*(1+D5-D6)^11,0)</f>
        <v>17</v>
      </c>
    </row>
  </sheetData>
  <mergeCells count="3">
    <mergeCell ref="A1:D1"/>
    <mergeCell ref="A3:D3"/>
    <mergeCell ref="A9:D9"/>
  </mergeCells>
  <conditionalFormatting sqref="B14:D1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B18:D18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B22:D22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2026-09-11T10:06:25Z</dcterms:created>
  <dc:creator>openpyxl</dc:creator>
  <dc:description/>
  <dc:language>en-US</dc:language>
  <cp:lastModifiedBy/>
  <dcterms:modified xsi:type="dcterms:W3CDTF">2026-09-11T10:07:22Z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